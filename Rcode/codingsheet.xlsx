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260"/>
  </bookViews>
  <sheets>
    <sheet name="MV_overall" sheetId="1" r:id="rId1"/>
    <sheet name="Sheet1" sheetId="2" r:id="rId2"/>
  </sheets>
  <definedNames>
    <definedName name="_xlnm._FilterDatabase" localSheetId="0" hidden="1">MV_overall!$A$1:$AK$83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<sst xmlns="http://schemas.openxmlformats.org/spreadsheetml/2006/main" count="371" uniqueCount="140">
  <si>
    <t>StudyID</t>
  </si>
  <si>
    <t>Publication</t>
  </si>
  <si>
    <t>Design</t>
  </si>
  <si>
    <t xml:space="preserve">Post
</t>
  </si>
  <si>
    <t>Nation</t>
  </si>
  <si>
    <t>Instructional Method</t>
  </si>
  <si>
    <t>MD</t>
  </si>
  <si>
    <t>TSR</t>
  </si>
  <si>
    <t>Comparision</t>
  </si>
  <si>
    <t>Ctl</t>
  </si>
  <si>
    <t>MP</t>
  </si>
  <si>
    <t>Age</t>
  </si>
  <si>
    <t>Grade</t>
  </si>
  <si>
    <t>MVsession</t>
  </si>
  <si>
    <t>MVmin</t>
  </si>
  <si>
    <t>MVDosage</t>
  </si>
  <si>
    <t>MPsession</t>
  </si>
  <si>
    <t>MPmin</t>
  </si>
  <si>
    <t>MPdosage</t>
  </si>
  <si>
    <t>MV perccentage</t>
  </si>
  <si>
    <t>Measure</t>
  </si>
  <si>
    <t>Proximal</t>
  </si>
  <si>
    <t>Outcome</t>
  </si>
  <si>
    <t>Content</t>
  </si>
  <si>
    <t>Comprehensive</t>
  </si>
  <si>
    <t>post.m.tx</t>
  </si>
  <si>
    <t>post.sd.tx</t>
  </si>
  <si>
    <t>post.n.tx</t>
  </si>
  <si>
    <t>pre.m.tx</t>
  </si>
  <si>
    <t>pre.sd.tx</t>
  </si>
  <si>
    <t>pre.n.tx</t>
  </si>
  <si>
    <t>post.m.ctl</t>
  </si>
  <si>
    <t>post.sd.ctl</t>
  </si>
  <si>
    <t>post.n.ctl</t>
  </si>
  <si>
    <t>pre.m.ctl</t>
  </si>
  <si>
    <t>pre.sd.ctl</t>
  </si>
  <si>
    <t>pre.n.ctl</t>
  </si>
  <si>
    <t>US</t>
  </si>
  <si>
    <t>Explicit instruction(repeat, practice)</t>
  </si>
  <si>
    <t>Trt 1 v. Ctl</t>
  </si>
  <si>
    <t>Academic Vocabulary Curriculum-Based Measure</t>
  </si>
  <si>
    <t>Mathematics Curriculum-Based Measure, CBM</t>
  </si>
  <si>
    <t>Worked example</t>
  </si>
  <si>
    <t>Word Problem Language Measure</t>
  </si>
  <si>
    <t>Trt 1 v. Trt 2</t>
  </si>
  <si>
    <t>First-Grade Word Problems</t>
  </si>
  <si>
    <t>Frayer/Voc grid</t>
  </si>
  <si>
    <t>Fraction vocabulary was assessed with Fraction Vocabulary (Lin &amp; Powell, 2022).</t>
  </si>
  <si>
    <t xml:space="preserve">comparing fractions: Comparing Fractions
(Schumacher et al., 2010) </t>
  </si>
  <si>
    <t>Fraction arithmetic: Fraction Arithmetic (Lin,
2022a)</t>
  </si>
  <si>
    <t>Word-Problem Solving (Lin, 2022b)</t>
  </si>
  <si>
    <t>CN</t>
  </si>
  <si>
    <t>Chinese version of the Fraction Vocabulary Measure, which was adapted from Lin and Powell (2023a)
Early Mathematics Inventory—Outcome</t>
  </si>
  <si>
    <t>Fraction arithmetic</t>
  </si>
  <si>
    <t>Trt 2 v. Ctl</t>
  </si>
  <si>
    <t>Mystery Math Vocabulary (MM Vocabulary)</t>
  </si>
  <si>
    <t>Concepts and procedures</t>
  </si>
  <si>
    <t xml:space="preserve">Algebra Basics: AlgebraBasicSkills(Algebra Basics; Foegen et al., 2005) </t>
  </si>
  <si>
    <t xml:space="preserve">mmonitoring basic skills: Monitoring Basic Skills Progress (MBSP) was used. MBSP is a standardized curric- ulum-based measure developed by Fuchs and Fuchs (1998) to monitor student progress in computational fluency. </t>
  </si>
  <si>
    <t xml:space="preserve">Math Vocab = Mathematics Vocabulary Grade 1 (Powell, 2015) </t>
  </si>
  <si>
    <t>Trt 1 v. Ctl（Active）</t>
  </si>
  <si>
    <t>Math performance = Group Mathematics Assessment and Diagnostic Evaluation total (Williams, 2004)</t>
  </si>
  <si>
    <t>Concepts and communication = Group Mathematics Assessment and Diagnostic Evaluation total (Williams, 2004)</t>
  </si>
  <si>
    <t>Procedures and applications = Group Mathematics Assessment and Diagnostic Evaluation total (Williams, 2004)</t>
  </si>
  <si>
    <t>Operations = Group Mathematics Assessment and Diagnostic Evaluation total (Williams, 2004)</t>
  </si>
  <si>
    <t>On Vocabulary (Powell &amp; Driver, 2013), students answer 14 questions related to math vocabulary.</t>
  </si>
  <si>
    <t>Addition Fluency: Addition Fluency (Fuchs et al., 2003) was administered in one 15-min whole- class screening session.</t>
  </si>
  <si>
    <t>Trt1v. Trt2</t>
  </si>
  <si>
    <t xml:space="preserve">Word Problem Mathematics Vocabulary 3 (WPMV-3; Stevens &amp; Powell, 2021) </t>
  </si>
  <si>
    <t>Trt1vs Trt2</t>
  </si>
  <si>
    <t>Word Problem Solving (WPMV-3; Stevens &amp; Powell, 2022)</t>
  </si>
  <si>
    <t>Trt 1 v. Trt2</t>
  </si>
  <si>
    <t>Fraction vocabulary</t>
  </si>
  <si>
    <t>Fraction comparison</t>
  </si>
  <si>
    <t>Fraction computation</t>
  </si>
  <si>
    <t>Oral Mathematics Vocabulary</t>
  </si>
  <si>
    <t>Writng Mathematics Vocabulary</t>
  </si>
  <si>
    <t>Word-Problem Solving</t>
  </si>
  <si>
    <t>Mathematics Vocabulary - Grade 3 (Powell, 2016)</t>
  </si>
  <si>
    <t xml:space="preserve"> Decimal Arithnetic</t>
  </si>
  <si>
    <t xml:space="preserve"> DecimalVocabulary</t>
  </si>
  <si>
    <t>Graphic organizor（explicit instruction）</t>
  </si>
  <si>
    <t>Criterion map</t>
  </si>
  <si>
    <t>Wordproblem</t>
  </si>
  <si>
    <t>Algebraic problem-solving</t>
  </si>
  <si>
    <t>_Vocabulary definition</t>
  </si>
  <si>
    <t>Peer+Self regulaton</t>
  </si>
  <si>
    <t>Math vocabulary quiz</t>
  </si>
  <si>
    <t>Dutch</t>
  </si>
  <si>
    <t>Storybook</t>
  </si>
  <si>
    <t>K</t>
  </si>
  <si>
    <t>Quantitative language measure (Turan &amp; De Smedt, 2023; adapted from Purpura &amp; Logan, 2015)</t>
  </si>
  <si>
    <t>Object counting task</t>
  </si>
  <si>
    <t>Arabic numeral recognition task</t>
  </si>
  <si>
    <t>Number order task</t>
  </si>
  <si>
    <t>Mathematical Language subtest</t>
  </si>
  <si>
    <t>PENS-B</t>
  </si>
  <si>
    <t>Preschool Assessment of the Language of Mathematics</t>
  </si>
  <si>
    <t>PENS-B Preschool Early Numeracy Skills Test - Brief Version</t>
  </si>
  <si>
    <t>NSB Counting Skills</t>
  </si>
  <si>
    <t>NSB Number Recognition</t>
  </si>
  <si>
    <t>NSB Number Comparisons</t>
  </si>
  <si>
    <t>NSB Nonverbal Calculation</t>
  </si>
  <si>
    <t>NSB Story Problems</t>
  </si>
  <si>
    <t>NSB Number Combinations</t>
  </si>
  <si>
    <t>BBCS-3:R SNC Intervention Words</t>
  </si>
  <si>
    <t>BBCS-3:R Fractions</t>
  </si>
  <si>
    <t>BBCS-3:R Math Signs/Symbols</t>
  </si>
  <si>
    <t>WJ-III NU Applied Problems</t>
  </si>
  <si>
    <t>WJ-III NU Calculation</t>
  </si>
  <si>
    <t>NSB_Counting skills</t>
  </si>
  <si>
    <t>NSB_Number recognition</t>
  </si>
  <si>
    <t>NSB_Number comparisons</t>
  </si>
  <si>
    <t>NSB_Nonverbal calculation</t>
  </si>
  <si>
    <t>NSB_Story problems</t>
  </si>
  <si>
    <t>NSB_Number combinations</t>
  </si>
  <si>
    <t>Bracken Basic Concept Scale</t>
  </si>
  <si>
    <t>WJ Applied Problems</t>
  </si>
  <si>
    <t>WJ Calculation</t>
  </si>
  <si>
    <t>Picture book shared reading</t>
  </si>
  <si>
    <t>PALM quantitative mathematical language measure</t>
  </si>
  <si>
    <t>Preschool Early Numeracy Screener (PENS; full score)</t>
  </si>
  <si>
    <t>Combined vs. Numeracy Only</t>
  </si>
  <si>
    <t>3 vs 2: Combined vs. Numeracy Only</t>
  </si>
  <si>
    <t xml:space="preserve">1=RCT </t>
  </si>
  <si>
    <t xml:space="preserve">2=QED </t>
  </si>
  <si>
    <t>3=SCD</t>
  </si>
  <si>
    <t>Post</t>
  </si>
  <si>
    <t>1=Yes</t>
  </si>
  <si>
    <t>2=No</t>
  </si>
  <si>
    <t>2=NO</t>
  </si>
  <si>
    <t>1=T1 vs Ctl</t>
  </si>
  <si>
    <t>2=Trt 1 v. Trt 2</t>
  </si>
  <si>
    <t>3=Trt vs active ctl</t>
  </si>
  <si>
    <t>4=SCD</t>
  </si>
  <si>
    <t>1=embedded MV</t>
  </si>
  <si>
    <t>0=Standalone MV</t>
  </si>
  <si>
    <t>1=fundemantal</t>
  </si>
  <si>
    <t>2=high-level</t>
  </si>
  <si>
    <t>3=comprehensive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</si>
</sst>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3"/>
  <sheetViews>
    <sheetView tabSelected="1" zoomScale="140" zoomScaleNormal="140" zoomScaleSheetLayoutView="60" workbookViewId="0">
      <pane xSplit="1" ySplit="1" topLeftCell="B2" activePane="bottomRight" state="frozen"/>
      <selection/>
      <selection pane="topRight"/>
      <selection pane="bottomLeft"/>
      <selection pane="bottomRight" activeCell="AM8" sqref="AM8"/>
    </sheetView>
  </sheetViews>
  <sheetFormatPr defaultColWidth="10.3846153846154" defaultRowHeight="16.8"/>
  <cols>
    <col min="21" max="21" width="35.9038461538462" customWidth="1"/>
  </cols>
  <sheetData>
    <row r="1" ht="68" spans="1:37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B2">
        <v>1</v>
      </c>
      <c r="C2">
        <v>2</v>
      </c>
      <c r="D2">
        <v>1</v>
      </c>
      <c r="E2" t="s">
        <v>37</v>
      </c>
      <c r="F2" t="s">
        <v>38</v>
      </c>
      <c r="G2">
        <v>1</v>
      </c>
      <c r="H2">
        <v>0.055555556</v>
      </c>
      <c r="I2" t="s">
        <v>39</v>
      </c>
      <c r="J2">
        <v>1</v>
      </c>
      <c r="K2">
        <v>1</v>
      </c>
      <c r="L2">
        <v>12</v>
      </c>
      <c r="M2">
        <v>6</v>
      </c>
      <c r="N2">
        <v>25</v>
      </c>
      <c r="Q2">
        <v>25</v>
      </c>
      <c r="R2">
        <v>48</v>
      </c>
      <c r="S2">
        <v>1200</v>
      </c>
      <c r="U2" t="s">
        <v>40</v>
      </c>
      <c r="V2">
        <v>1</v>
      </c>
      <c r="W2">
        <v>0</v>
      </c>
      <c r="X2">
        <v>2</v>
      </c>
      <c r="Y2">
        <v>1</v>
      </c>
      <c r="Z2">
        <v>0.78</v>
      </c>
      <c r="AA2">
        <v>0.2</v>
      </c>
      <c r="AB2">
        <v>92</v>
      </c>
      <c r="AC2">
        <v>0.61</v>
      </c>
      <c r="AD2">
        <v>0.23</v>
      </c>
      <c r="AE2">
        <v>92</v>
      </c>
      <c r="AF2">
        <v>0.36</v>
      </c>
      <c r="AG2">
        <v>0.15</v>
      </c>
      <c r="AH2">
        <v>51</v>
      </c>
      <c r="AI2">
        <v>0.32</v>
      </c>
      <c r="AJ2">
        <v>0.19</v>
      </c>
      <c r="AK2">
        <v>51</v>
      </c>
    </row>
    <row r="3" spans="1:37">
      <c r="A3">
        <v>1</v>
      </c>
      <c r="B3">
        <v>1</v>
      </c>
      <c r="C3">
        <v>2</v>
      </c>
      <c r="D3">
        <v>1</v>
      </c>
      <c r="E3" t="s">
        <v>37</v>
      </c>
      <c r="G3">
        <v>1</v>
      </c>
      <c r="H3">
        <v>0.055555556</v>
      </c>
      <c r="I3" t="s">
        <v>39</v>
      </c>
      <c r="J3">
        <v>1</v>
      </c>
      <c r="K3">
        <v>1</v>
      </c>
      <c r="L3">
        <v>12</v>
      </c>
      <c r="M3">
        <v>6</v>
      </c>
      <c r="N3">
        <v>25</v>
      </c>
      <c r="Q3">
        <v>25</v>
      </c>
      <c r="R3">
        <v>48</v>
      </c>
      <c r="S3">
        <v>1200</v>
      </c>
      <c r="U3" t="s">
        <v>41</v>
      </c>
      <c r="V3">
        <v>0</v>
      </c>
      <c r="W3">
        <v>1</v>
      </c>
      <c r="X3">
        <v>2</v>
      </c>
      <c r="Y3">
        <v>1</v>
      </c>
      <c r="Z3">
        <v>0.52</v>
      </c>
      <c r="AA3">
        <v>0.19</v>
      </c>
      <c r="AB3">
        <v>92</v>
      </c>
      <c r="AC3">
        <v>0.32</v>
      </c>
      <c r="AD3">
        <v>0.18</v>
      </c>
      <c r="AE3">
        <v>92</v>
      </c>
      <c r="AF3">
        <v>0.66</v>
      </c>
      <c r="AG3">
        <v>0.24</v>
      </c>
      <c r="AH3">
        <v>51</v>
      </c>
      <c r="AI3">
        <v>0.6</v>
      </c>
      <c r="AJ3">
        <v>0.22</v>
      </c>
      <c r="AK3">
        <v>51</v>
      </c>
    </row>
    <row r="4" spans="1:37">
      <c r="A4">
        <v>2</v>
      </c>
      <c r="B4">
        <v>1</v>
      </c>
      <c r="C4">
        <v>1</v>
      </c>
      <c r="D4">
        <v>2</v>
      </c>
      <c r="E4" t="s">
        <v>37</v>
      </c>
      <c r="F4" t="s">
        <v>42</v>
      </c>
      <c r="G4">
        <v>1</v>
      </c>
      <c r="H4">
        <v>0.166666667</v>
      </c>
      <c r="I4" t="s">
        <v>39</v>
      </c>
      <c r="J4">
        <v>1</v>
      </c>
      <c r="K4">
        <v>1</v>
      </c>
      <c r="L4">
        <v>6.53</v>
      </c>
      <c r="M4">
        <v>1</v>
      </c>
      <c r="N4">
        <v>45</v>
      </c>
      <c r="O4">
        <v>5</v>
      </c>
      <c r="P4">
        <v>225</v>
      </c>
      <c r="Q4">
        <v>45</v>
      </c>
      <c r="R4">
        <v>30</v>
      </c>
      <c r="S4">
        <v>1350</v>
      </c>
      <c r="T4">
        <v>0.166666667</v>
      </c>
      <c r="U4" t="s">
        <v>43</v>
      </c>
      <c r="V4">
        <v>1</v>
      </c>
      <c r="W4">
        <v>0</v>
      </c>
      <c r="X4">
        <v>2</v>
      </c>
      <c r="Y4">
        <v>0</v>
      </c>
      <c r="Z4">
        <v>15.55</v>
      </c>
      <c r="AA4">
        <v>3.82</v>
      </c>
      <c r="AB4">
        <v>99</v>
      </c>
      <c r="AF4">
        <v>13.41</v>
      </c>
      <c r="AG4">
        <v>3.79</v>
      </c>
      <c r="AH4">
        <v>104</v>
      </c>
    </row>
    <row r="5" spans="1:37">
      <c r="A5">
        <v>2</v>
      </c>
      <c r="B5">
        <v>1</v>
      </c>
      <c r="C5">
        <v>1</v>
      </c>
      <c r="D5">
        <v>2</v>
      </c>
      <c r="E5" t="s">
        <v>37</v>
      </c>
      <c r="F5" t="s">
        <v>42</v>
      </c>
      <c r="G5">
        <v>1</v>
      </c>
      <c r="H5">
        <v>0.166666667</v>
      </c>
      <c r="I5" t="s">
        <v>44</v>
      </c>
      <c r="J5">
        <v>2</v>
      </c>
      <c r="K5">
        <v>1</v>
      </c>
      <c r="L5">
        <v>6.53</v>
      </c>
      <c r="M5">
        <v>1</v>
      </c>
      <c r="N5">
        <v>45</v>
      </c>
      <c r="O5">
        <v>5</v>
      </c>
      <c r="P5">
        <v>225</v>
      </c>
      <c r="Q5">
        <v>45</v>
      </c>
      <c r="R5">
        <v>30</v>
      </c>
      <c r="S5">
        <v>1350</v>
      </c>
      <c r="T5">
        <v>0.166666667</v>
      </c>
      <c r="U5" t="s">
        <v>43</v>
      </c>
      <c r="V5">
        <v>1</v>
      </c>
      <c r="W5">
        <v>0</v>
      </c>
      <c r="X5">
        <v>2</v>
      </c>
      <c r="Y5">
        <v>0</v>
      </c>
      <c r="Z5">
        <v>15.55</v>
      </c>
      <c r="AA5">
        <v>3.82</v>
      </c>
      <c r="AB5">
        <v>99</v>
      </c>
      <c r="AF5">
        <v>13.07</v>
      </c>
      <c r="AG5">
        <v>3.69</v>
      </c>
      <c r="AH5">
        <v>96</v>
      </c>
    </row>
    <row r="6" spans="1:37">
      <c r="A6">
        <v>2</v>
      </c>
      <c r="B6">
        <v>1</v>
      </c>
      <c r="C6">
        <v>1</v>
      </c>
      <c r="D6">
        <v>2</v>
      </c>
      <c r="E6" t="s">
        <v>37</v>
      </c>
      <c r="G6">
        <v>1</v>
      </c>
      <c r="H6">
        <v>0.166666667</v>
      </c>
      <c r="I6" t="s">
        <v>39</v>
      </c>
      <c r="J6">
        <v>1</v>
      </c>
      <c r="K6">
        <v>1</v>
      </c>
      <c r="L6">
        <v>6.53</v>
      </c>
      <c r="M6">
        <v>1</v>
      </c>
      <c r="N6">
        <v>45</v>
      </c>
      <c r="O6">
        <v>5</v>
      </c>
      <c r="P6">
        <v>225</v>
      </c>
      <c r="Q6">
        <v>45</v>
      </c>
      <c r="R6">
        <v>30</v>
      </c>
      <c r="S6">
        <v>1350</v>
      </c>
      <c r="T6">
        <v>0.166666667</v>
      </c>
      <c r="U6" s="5" t="s">
        <v>45</v>
      </c>
      <c r="V6">
        <v>1</v>
      </c>
      <c r="W6">
        <v>1</v>
      </c>
      <c r="X6">
        <v>2</v>
      </c>
      <c r="Y6">
        <v>0</v>
      </c>
      <c r="Z6">
        <v>9.81</v>
      </c>
      <c r="AA6">
        <v>4.94</v>
      </c>
      <c r="AB6">
        <v>99</v>
      </c>
      <c r="AC6">
        <v>1.62</v>
      </c>
      <c r="AD6">
        <v>1.28</v>
      </c>
      <c r="AE6">
        <v>99</v>
      </c>
      <c r="AF6">
        <v>3.36</v>
      </c>
      <c r="AG6">
        <v>2.38</v>
      </c>
      <c r="AH6">
        <v>104</v>
      </c>
      <c r="AI6">
        <v>1.55</v>
      </c>
      <c r="AJ6">
        <v>1.2</v>
      </c>
      <c r="AK6">
        <v>104</v>
      </c>
    </row>
    <row r="7" spans="1:37">
      <c r="A7">
        <v>2</v>
      </c>
      <c r="B7">
        <v>1</v>
      </c>
      <c r="C7">
        <v>1</v>
      </c>
      <c r="D7">
        <v>2</v>
      </c>
      <c r="E7" t="s">
        <v>37</v>
      </c>
      <c r="G7">
        <v>1</v>
      </c>
      <c r="H7">
        <v>0.166666667</v>
      </c>
      <c r="I7" t="s">
        <v>44</v>
      </c>
      <c r="J7">
        <v>2</v>
      </c>
      <c r="K7">
        <v>1</v>
      </c>
      <c r="L7">
        <v>6.53</v>
      </c>
      <c r="M7">
        <v>1</v>
      </c>
      <c r="N7">
        <v>45</v>
      </c>
      <c r="O7">
        <v>5</v>
      </c>
      <c r="P7">
        <v>225</v>
      </c>
      <c r="Q7">
        <v>45</v>
      </c>
      <c r="R7">
        <v>30</v>
      </c>
      <c r="S7">
        <v>1350</v>
      </c>
      <c r="T7">
        <v>0.166666667</v>
      </c>
      <c r="U7" s="5" t="s">
        <v>45</v>
      </c>
      <c r="V7">
        <v>1</v>
      </c>
      <c r="W7">
        <v>1</v>
      </c>
      <c r="X7">
        <v>2</v>
      </c>
      <c r="Y7">
        <v>0</v>
      </c>
      <c r="Z7">
        <v>9.81</v>
      </c>
      <c r="AA7">
        <v>4.94</v>
      </c>
      <c r="AB7">
        <v>99</v>
      </c>
      <c r="AC7">
        <v>1.62</v>
      </c>
      <c r="AD7">
        <v>1.28</v>
      </c>
      <c r="AE7">
        <v>99</v>
      </c>
      <c r="AF7">
        <v>7.4</v>
      </c>
      <c r="AG7">
        <v>5.12</v>
      </c>
      <c r="AH7">
        <v>96</v>
      </c>
      <c r="AI7">
        <v>1.54</v>
      </c>
      <c r="AJ7">
        <v>1.26</v>
      </c>
      <c r="AK7">
        <v>96</v>
      </c>
    </row>
    <row r="8" spans="1:37">
      <c r="A8">
        <v>3</v>
      </c>
      <c r="B8">
        <v>1</v>
      </c>
      <c r="C8">
        <v>2</v>
      </c>
      <c r="D8">
        <v>1</v>
      </c>
      <c r="E8" t="s">
        <v>37</v>
      </c>
      <c r="F8" t="s">
        <v>46</v>
      </c>
      <c r="G8">
        <v>1</v>
      </c>
      <c r="H8">
        <v>0.75</v>
      </c>
      <c r="I8" t="s">
        <v>39</v>
      </c>
      <c r="J8">
        <v>1</v>
      </c>
      <c r="K8">
        <v>0</v>
      </c>
      <c r="L8">
        <v>9.67</v>
      </c>
      <c r="M8">
        <v>4</v>
      </c>
      <c r="N8">
        <v>10.12</v>
      </c>
      <c r="O8">
        <v>25</v>
      </c>
      <c r="P8">
        <v>253</v>
      </c>
      <c r="T8">
        <v>1</v>
      </c>
      <c r="U8" t="s">
        <v>47</v>
      </c>
      <c r="V8">
        <v>1</v>
      </c>
      <c r="W8">
        <v>0</v>
      </c>
      <c r="X8">
        <v>2</v>
      </c>
      <c r="Y8">
        <v>0</v>
      </c>
      <c r="Z8">
        <v>20.56</v>
      </c>
      <c r="AA8">
        <v>4.73</v>
      </c>
      <c r="AB8">
        <v>16</v>
      </c>
      <c r="AC8">
        <v>8.81</v>
      </c>
      <c r="AD8">
        <v>3.43</v>
      </c>
      <c r="AE8">
        <v>16</v>
      </c>
      <c r="AF8">
        <v>12.06</v>
      </c>
      <c r="AG8">
        <v>5.92</v>
      </c>
      <c r="AH8">
        <v>17</v>
      </c>
      <c r="AI8">
        <v>8.59</v>
      </c>
      <c r="AJ8">
        <v>4.76</v>
      </c>
      <c r="AK8">
        <v>17</v>
      </c>
    </row>
    <row r="9" spans="1:37">
      <c r="A9">
        <v>3</v>
      </c>
      <c r="B9">
        <v>1</v>
      </c>
      <c r="C9">
        <v>2</v>
      </c>
      <c r="D9">
        <v>1</v>
      </c>
      <c r="E9" t="s">
        <v>37</v>
      </c>
      <c r="F9" t="s">
        <v>46</v>
      </c>
      <c r="G9">
        <v>1</v>
      </c>
      <c r="H9">
        <v>0.75</v>
      </c>
      <c r="I9" t="s">
        <v>39</v>
      </c>
      <c r="J9">
        <v>1</v>
      </c>
      <c r="K9">
        <v>0</v>
      </c>
      <c r="L9">
        <v>9.67</v>
      </c>
      <c r="M9">
        <v>4</v>
      </c>
      <c r="N9">
        <v>10.12</v>
      </c>
      <c r="O9">
        <v>25</v>
      </c>
      <c r="P9">
        <v>253</v>
      </c>
      <c r="T9">
        <v>1</v>
      </c>
      <c r="U9" s="1" t="s">
        <v>48</v>
      </c>
      <c r="V9">
        <v>0</v>
      </c>
      <c r="W9">
        <v>1</v>
      </c>
      <c r="X9">
        <v>2</v>
      </c>
      <c r="Y9">
        <v>0</v>
      </c>
      <c r="Z9">
        <v>9.13</v>
      </c>
      <c r="AA9">
        <v>2.55</v>
      </c>
      <c r="AB9">
        <v>16</v>
      </c>
      <c r="AC9">
        <v>8.44</v>
      </c>
      <c r="AD9">
        <v>2.68</v>
      </c>
      <c r="AE9">
        <v>16</v>
      </c>
      <c r="AF9">
        <v>8.82</v>
      </c>
      <c r="AG9">
        <v>3.52</v>
      </c>
      <c r="AH9">
        <v>17</v>
      </c>
      <c r="AI9">
        <v>8.53</v>
      </c>
      <c r="AJ9">
        <v>3.57</v>
      </c>
      <c r="AK9">
        <v>17</v>
      </c>
    </row>
    <row r="10" spans="1:37">
      <c r="A10">
        <v>3</v>
      </c>
      <c r="B10">
        <v>1</v>
      </c>
      <c r="C10">
        <v>2</v>
      </c>
      <c r="D10">
        <v>1</v>
      </c>
      <c r="E10" t="s">
        <v>37</v>
      </c>
      <c r="F10" t="s">
        <v>46</v>
      </c>
      <c r="G10">
        <v>1</v>
      </c>
      <c r="H10">
        <v>0.75</v>
      </c>
      <c r="I10" t="s">
        <v>39</v>
      </c>
      <c r="J10">
        <v>1</v>
      </c>
      <c r="K10">
        <v>0</v>
      </c>
      <c r="L10">
        <v>9.67</v>
      </c>
      <c r="M10">
        <v>4</v>
      </c>
      <c r="N10">
        <v>10.12</v>
      </c>
      <c r="O10">
        <v>25</v>
      </c>
      <c r="P10">
        <v>253</v>
      </c>
      <c r="T10">
        <v>1</v>
      </c>
      <c r="U10" s="1" t="s">
        <v>49</v>
      </c>
      <c r="V10">
        <v>0</v>
      </c>
      <c r="W10">
        <v>1</v>
      </c>
      <c r="X10">
        <v>2</v>
      </c>
      <c r="Y10">
        <v>0</v>
      </c>
      <c r="Z10">
        <v>6.44</v>
      </c>
      <c r="AA10">
        <v>2.16</v>
      </c>
      <c r="AB10">
        <v>16</v>
      </c>
      <c r="AC10">
        <v>4.62</v>
      </c>
      <c r="AD10">
        <v>2.53</v>
      </c>
      <c r="AE10">
        <v>16</v>
      </c>
      <c r="AF10">
        <v>4.18</v>
      </c>
      <c r="AG10">
        <v>3.49</v>
      </c>
      <c r="AH10">
        <v>17</v>
      </c>
      <c r="AI10">
        <v>3.88</v>
      </c>
      <c r="AJ10">
        <v>3.5</v>
      </c>
      <c r="AK10">
        <v>17</v>
      </c>
    </row>
    <row r="11" spans="1:37">
      <c r="A11">
        <v>3</v>
      </c>
      <c r="B11">
        <v>1</v>
      </c>
      <c r="C11">
        <v>2</v>
      </c>
      <c r="D11">
        <v>1</v>
      </c>
      <c r="E11" t="s">
        <v>37</v>
      </c>
      <c r="F11" t="s">
        <v>46</v>
      </c>
      <c r="G11">
        <v>1</v>
      </c>
      <c r="H11">
        <v>0.75</v>
      </c>
      <c r="I11" t="s">
        <v>39</v>
      </c>
      <c r="J11">
        <v>1</v>
      </c>
      <c r="K11">
        <v>0</v>
      </c>
      <c r="L11">
        <v>9.67</v>
      </c>
      <c r="M11">
        <v>4</v>
      </c>
      <c r="N11">
        <v>10.12</v>
      </c>
      <c r="O11">
        <v>25</v>
      </c>
      <c r="P11">
        <v>253</v>
      </c>
      <c r="T11">
        <v>1</v>
      </c>
      <c r="U11" t="s">
        <v>50</v>
      </c>
      <c r="V11">
        <v>0</v>
      </c>
      <c r="W11">
        <v>1</v>
      </c>
      <c r="X11">
        <v>2</v>
      </c>
      <c r="Y11">
        <v>0</v>
      </c>
      <c r="Z11">
        <v>6</v>
      </c>
      <c r="AA11">
        <v>2.13</v>
      </c>
      <c r="AB11">
        <v>16</v>
      </c>
      <c r="AC11">
        <v>5.06</v>
      </c>
      <c r="AD11">
        <v>2.86</v>
      </c>
      <c r="AE11">
        <v>16</v>
      </c>
      <c r="AF11">
        <v>4.35</v>
      </c>
      <c r="AG11">
        <v>3.57</v>
      </c>
      <c r="AH11">
        <v>17</v>
      </c>
      <c r="AI11">
        <v>4.12</v>
      </c>
      <c r="AJ11">
        <v>3.22</v>
      </c>
      <c r="AK11">
        <v>17</v>
      </c>
    </row>
    <row r="12" s="1" customFormat="1" spans="1:37">
      <c r="A12" s="1">
        <v>4</v>
      </c>
      <c r="B12" s="1">
        <v>1</v>
      </c>
      <c r="C12" s="1">
        <v>1</v>
      </c>
      <c r="D12" s="1">
        <v>1</v>
      </c>
      <c r="E12" s="1" t="s">
        <v>51</v>
      </c>
      <c r="F12" s="1" t="s">
        <v>46</v>
      </c>
      <c r="G12" s="1">
        <v>1</v>
      </c>
      <c r="H12" s="1">
        <v>0.25</v>
      </c>
      <c r="I12" s="1" t="s">
        <v>39</v>
      </c>
      <c r="J12" s="1">
        <v>1</v>
      </c>
      <c r="K12" s="1">
        <v>0</v>
      </c>
      <c r="L12" s="1">
        <v>9.56</v>
      </c>
      <c r="M12" s="1">
        <v>4</v>
      </c>
      <c r="N12" s="1">
        <v>8.83</v>
      </c>
      <c r="O12" s="1">
        <v>28.66</v>
      </c>
      <c r="P12" s="1">
        <v>253.0678</v>
      </c>
      <c r="T12" s="1">
        <v>1</v>
      </c>
      <c r="U12" s="1" t="s">
        <v>52</v>
      </c>
      <c r="V12" s="1">
        <v>1</v>
      </c>
      <c r="W12" s="1">
        <v>0</v>
      </c>
      <c r="X12" s="1">
        <v>2</v>
      </c>
      <c r="Y12" s="1">
        <v>0</v>
      </c>
      <c r="Z12" s="1">
        <v>19.17</v>
      </c>
      <c r="AA12" s="1">
        <v>5.98</v>
      </c>
      <c r="AB12" s="1">
        <v>23</v>
      </c>
      <c r="AC12" s="1">
        <v>9.83</v>
      </c>
      <c r="AD12" s="1">
        <v>4.27</v>
      </c>
      <c r="AE12" s="1">
        <v>23</v>
      </c>
      <c r="AF12" s="1">
        <v>13.08</v>
      </c>
      <c r="AG12" s="1">
        <v>5.79</v>
      </c>
      <c r="AH12" s="1">
        <v>24</v>
      </c>
      <c r="AI12" s="1">
        <v>8.25</v>
      </c>
      <c r="AJ12" s="1">
        <v>4.36</v>
      </c>
      <c r="AK12" s="1">
        <v>24</v>
      </c>
    </row>
    <row r="13" s="1" customFormat="1" spans="1:37">
      <c r="A13" s="1">
        <v>4</v>
      </c>
      <c r="B13" s="1">
        <v>1</v>
      </c>
      <c r="C13" s="1">
        <v>1</v>
      </c>
      <c r="D13" s="1">
        <v>1</v>
      </c>
      <c r="E13" s="1" t="s">
        <v>51</v>
      </c>
      <c r="F13" s="1" t="s">
        <v>46</v>
      </c>
      <c r="G13" s="1">
        <v>1</v>
      </c>
      <c r="H13" s="1">
        <v>0.25</v>
      </c>
      <c r="I13" s="1" t="s">
        <v>39</v>
      </c>
      <c r="J13" s="1">
        <v>1</v>
      </c>
      <c r="K13" s="1">
        <v>0</v>
      </c>
      <c r="L13" s="1">
        <v>9.74</v>
      </c>
      <c r="M13" s="1">
        <v>4</v>
      </c>
      <c r="N13" s="1">
        <v>8.6</v>
      </c>
      <c r="O13" s="1">
        <v>29.35</v>
      </c>
      <c r="P13" s="1">
        <v>252.41</v>
      </c>
      <c r="T13" s="1">
        <v>1</v>
      </c>
      <c r="U13" s="1" t="s">
        <v>52</v>
      </c>
      <c r="V13" s="1">
        <v>1</v>
      </c>
      <c r="W13" s="1">
        <v>0</v>
      </c>
      <c r="X13" s="1">
        <v>2</v>
      </c>
      <c r="Y13" s="1">
        <v>0</v>
      </c>
      <c r="Z13" s="1">
        <v>18.65</v>
      </c>
      <c r="AA13" s="1">
        <v>6.41</v>
      </c>
      <c r="AB13" s="1">
        <v>23</v>
      </c>
      <c r="AC13" s="1">
        <v>8.91</v>
      </c>
      <c r="AD13" s="1">
        <v>3.64</v>
      </c>
      <c r="AE13" s="1">
        <v>23</v>
      </c>
      <c r="AF13" s="1">
        <v>13.08</v>
      </c>
      <c r="AG13" s="1">
        <v>5.79</v>
      </c>
      <c r="AH13" s="1">
        <v>24</v>
      </c>
      <c r="AI13" s="1">
        <v>8.25</v>
      </c>
      <c r="AJ13" s="1">
        <v>4.36</v>
      </c>
      <c r="AK13" s="1">
        <v>24</v>
      </c>
    </row>
    <row r="14" s="1" customFormat="1" spans="1:37">
      <c r="A14" s="1">
        <v>4</v>
      </c>
      <c r="B14" s="1">
        <v>1</v>
      </c>
      <c r="C14" s="1">
        <v>1</v>
      </c>
      <c r="D14" s="1">
        <v>1</v>
      </c>
      <c r="E14" s="1" t="s">
        <v>51</v>
      </c>
      <c r="F14" s="1" t="s">
        <v>46</v>
      </c>
      <c r="G14" s="1">
        <v>1</v>
      </c>
      <c r="H14" s="1">
        <v>0.25</v>
      </c>
      <c r="I14" s="1" t="s">
        <v>39</v>
      </c>
      <c r="J14" s="1">
        <v>1</v>
      </c>
      <c r="K14" s="1">
        <v>0</v>
      </c>
      <c r="L14" s="1">
        <v>9.56</v>
      </c>
      <c r="M14" s="1">
        <v>4</v>
      </c>
      <c r="N14" s="1">
        <v>8.83</v>
      </c>
      <c r="O14" s="1">
        <v>28.66</v>
      </c>
      <c r="P14" s="1">
        <v>253.0678</v>
      </c>
      <c r="T14" s="1">
        <v>1</v>
      </c>
      <c r="U14" s="1" t="s">
        <v>53</v>
      </c>
      <c r="V14" s="1">
        <v>0</v>
      </c>
      <c r="W14" s="1">
        <v>1</v>
      </c>
      <c r="X14" s="1">
        <v>2</v>
      </c>
      <c r="Y14" s="1">
        <v>0</v>
      </c>
      <c r="Z14" s="1">
        <v>19.17</v>
      </c>
      <c r="AA14" s="1">
        <v>5.97</v>
      </c>
      <c r="AB14" s="1">
        <v>23</v>
      </c>
      <c r="AC14" s="1">
        <v>7.35</v>
      </c>
      <c r="AD14" s="1">
        <v>3.58</v>
      </c>
      <c r="AE14" s="1">
        <v>23</v>
      </c>
      <c r="AF14" s="1">
        <v>13.08</v>
      </c>
      <c r="AG14" s="1">
        <v>5.79</v>
      </c>
      <c r="AH14" s="1">
        <v>24</v>
      </c>
      <c r="AI14" s="1">
        <v>6.33</v>
      </c>
      <c r="AJ14" s="1">
        <v>3</v>
      </c>
      <c r="AK14" s="1">
        <v>24</v>
      </c>
    </row>
    <row r="15" s="1" customFormat="1" spans="1:37">
      <c r="A15" s="1">
        <v>4</v>
      </c>
      <c r="B15" s="1">
        <v>1</v>
      </c>
      <c r="C15" s="1">
        <v>1</v>
      </c>
      <c r="D15" s="1">
        <v>1</v>
      </c>
      <c r="E15" s="1" t="s">
        <v>37</v>
      </c>
      <c r="F15" s="1" t="s">
        <v>46</v>
      </c>
      <c r="G15" s="1">
        <v>1</v>
      </c>
      <c r="H15" s="1">
        <v>0.25</v>
      </c>
      <c r="I15" s="1" t="s">
        <v>54</v>
      </c>
      <c r="J15" s="1">
        <v>1</v>
      </c>
      <c r="K15" s="1">
        <v>0</v>
      </c>
      <c r="L15" s="1">
        <v>9.74</v>
      </c>
      <c r="M15" s="1">
        <v>4</v>
      </c>
      <c r="N15" s="1">
        <v>8.6</v>
      </c>
      <c r="O15" s="1">
        <v>29.35</v>
      </c>
      <c r="P15" s="1">
        <v>252.41</v>
      </c>
      <c r="T15" s="1">
        <v>1</v>
      </c>
      <c r="U15" s="1" t="s">
        <v>53</v>
      </c>
      <c r="V15" s="1">
        <v>0</v>
      </c>
      <c r="W15" s="1">
        <v>1</v>
      </c>
      <c r="X15" s="1">
        <v>2</v>
      </c>
      <c r="Y15" s="1">
        <v>0</v>
      </c>
      <c r="Z15" s="1">
        <v>18.65</v>
      </c>
      <c r="AA15" s="1">
        <v>6.41</v>
      </c>
      <c r="AB15" s="1">
        <v>23</v>
      </c>
      <c r="AC15" s="1">
        <v>6.61</v>
      </c>
      <c r="AD15" s="1">
        <v>3.86</v>
      </c>
      <c r="AE15" s="1">
        <v>23</v>
      </c>
      <c r="AF15" s="1">
        <v>13.08</v>
      </c>
      <c r="AG15" s="1">
        <v>5.79</v>
      </c>
      <c r="AH15" s="1">
        <v>24</v>
      </c>
      <c r="AI15" s="1">
        <v>6.33</v>
      </c>
      <c r="AJ15" s="1">
        <v>3</v>
      </c>
      <c r="AK15" s="1">
        <v>24</v>
      </c>
    </row>
    <row r="16" spans="1:37">
      <c r="A16">
        <v>5</v>
      </c>
      <c r="B16">
        <v>1</v>
      </c>
      <c r="C16">
        <v>1</v>
      </c>
      <c r="D16">
        <v>1</v>
      </c>
      <c r="E16" t="s">
        <v>37</v>
      </c>
      <c r="F16" t="s">
        <v>38</v>
      </c>
      <c r="G16">
        <v>1</v>
      </c>
      <c r="H16">
        <v>0.33</v>
      </c>
      <c r="I16" t="s">
        <v>39</v>
      </c>
      <c r="J16">
        <v>1</v>
      </c>
      <c r="K16">
        <v>1</v>
      </c>
      <c r="L16">
        <v>11.58</v>
      </c>
      <c r="M16">
        <v>6</v>
      </c>
      <c r="N16">
        <v>3</v>
      </c>
      <c r="Q16">
        <v>15</v>
      </c>
      <c r="R16">
        <v>30</v>
      </c>
      <c r="S16">
        <v>450</v>
      </c>
      <c r="T16">
        <v>0.25</v>
      </c>
      <c r="U16" t="s">
        <v>55</v>
      </c>
      <c r="V16">
        <v>1</v>
      </c>
      <c r="W16">
        <v>0</v>
      </c>
      <c r="X16">
        <v>2</v>
      </c>
      <c r="Y16">
        <v>0</v>
      </c>
      <c r="Z16">
        <v>7.33</v>
      </c>
      <c r="AA16">
        <v>2.65</v>
      </c>
      <c r="AB16">
        <v>21</v>
      </c>
      <c r="AC16">
        <v>2.12</v>
      </c>
      <c r="AD16">
        <v>1.17</v>
      </c>
      <c r="AE16">
        <v>21</v>
      </c>
      <c r="AF16">
        <v>2.74</v>
      </c>
      <c r="AG16">
        <v>1.31</v>
      </c>
      <c r="AH16">
        <v>23</v>
      </c>
      <c r="AI16">
        <v>2.13</v>
      </c>
      <c r="AJ16">
        <v>0.99</v>
      </c>
      <c r="AK16">
        <v>23</v>
      </c>
    </row>
    <row r="17" spans="1:37">
      <c r="A17">
        <v>5</v>
      </c>
      <c r="B17">
        <v>1</v>
      </c>
      <c r="C17">
        <v>1</v>
      </c>
      <c r="D17">
        <v>1</v>
      </c>
      <c r="E17" t="s">
        <v>37</v>
      </c>
      <c r="G17">
        <v>1</v>
      </c>
      <c r="H17">
        <v>0.33</v>
      </c>
      <c r="I17" t="s">
        <v>39</v>
      </c>
      <c r="J17">
        <v>1</v>
      </c>
      <c r="K17">
        <v>1</v>
      </c>
      <c r="L17">
        <v>11.58</v>
      </c>
      <c r="M17">
        <v>6</v>
      </c>
      <c r="N17">
        <v>3</v>
      </c>
      <c r="Q17">
        <v>15</v>
      </c>
      <c r="R17">
        <v>30</v>
      </c>
      <c r="S17">
        <v>450</v>
      </c>
      <c r="T17">
        <v>0.25</v>
      </c>
      <c r="U17" t="s">
        <v>56</v>
      </c>
      <c r="V17">
        <v>1</v>
      </c>
      <c r="W17">
        <v>1</v>
      </c>
      <c r="X17">
        <v>2</v>
      </c>
      <c r="Y17">
        <v>0</v>
      </c>
      <c r="Z17">
        <v>17.83</v>
      </c>
      <c r="AA17">
        <v>4.01</v>
      </c>
      <c r="AB17">
        <v>21</v>
      </c>
      <c r="AC17">
        <v>7.42</v>
      </c>
      <c r="AD17">
        <v>4.51</v>
      </c>
      <c r="AE17">
        <v>21</v>
      </c>
      <c r="AF17">
        <v>8.94</v>
      </c>
      <c r="AG17">
        <v>4.88</v>
      </c>
      <c r="AH17">
        <v>23</v>
      </c>
      <c r="AI17">
        <v>7.2</v>
      </c>
      <c r="AJ17">
        <v>3.37</v>
      </c>
      <c r="AK17">
        <v>23</v>
      </c>
    </row>
    <row r="18" spans="1:37">
      <c r="A18">
        <v>5</v>
      </c>
      <c r="B18">
        <v>1</v>
      </c>
      <c r="C18">
        <v>1</v>
      </c>
      <c r="D18">
        <v>1</v>
      </c>
      <c r="E18" t="s">
        <v>37</v>
      </c>
      <c r="G18">
        <v>1</v>
      </c>
      <c r="H18">
        <v>0.33</v>
      </c>
      <c r="I18" t="s">
        <v>39</v>
      </c>
      <c r="J18">
        <v>1</v>
      </c>
      <c r="K18">
        <v>1</v>
      </c>
      <c r="L18">
        <v>11.58</v>
      </c>
      <c r="M18">
        <v>6</v>
      </c>
      <c r="N18">
        <v>3</v>
      </c>
      <c r="Q18">
        <v>15</v>
      </c>
      <c r="R18">
        <v>30</v>
      </c>
      <c r="S18">
        <v>450</v>
      </c>
      <c r="T18">
        <v>0.25</v>
      </c>
      <c r="U18" t="s">
        <v>57</v>
      </c>
      <c r="V18">
        <v>0</v>
      </c>
      <c r="W18">
        <v>1</v>
      </c>
      <c r="X18">
        <v>2</v>
      </c>
      <c r="Y18">
        <v>0</v>
      </c>
      <c r="Z18">
        <v>6.81</v>
      </c>
      <c r="AA18">
        <v>4.03</v>
      </c>
      <c r="AB18">
        <v>21</v>
      </c>
      <c r="AC18">
        <v>3.76</v>
      </c>
      <c r="AD18">
        <v>1.84</v>
      </c>
      <c r="AE18">
        <v>21</v>
      </c>
      <c r="AF18">
        <v>7.17</v>
      </c>
      <c r="AG18">
        <v>3.65</v>
      </c>
      <c r="AH18">
        <v>23</v>
      </c>
      <c r="AI18">
        <v>3.74</v>
      </c>
      <c r="AJ18">
        <v>2.12</v>
      </c>
      <c r="AK18">
        <v>23</v>
      </c>
    </row>
    <row r="19" spans="1:37">
      <c r="A19">
        <v>5</v>
      </c>
      <c r="B19">
        <v>1</v>
      </c>
      <c r="C19">
        <v>1</v>
      </c>
      <c r="D19">
        <v>1</v>
      </c>
      <c r="E19" t="s">
        <v>37</v>
      </c>
      <c r="G19">
        <v>1</v>
      </c>
      <c r="H19">
        <v>0.33</v>
      </c>
      <c r="I19" t="s">
        <v>39</v>
      </c>
      <c r="J19">
        <v>1</v>
      </c>
      <c r="K19">
        <v>1</v>
      </c>
      <c r="L19">
        <v>11.58</v>
      </c>
      <c r="M19">
        <v>6</v>
      </c>
      <c r="N19">
        <v>3</v>
      </c>
      <c r="Q19">
        <v>15</v>
      </c>
      <c r="R19">
        <v>30</v>
      </c>
      <c r="S19">
        <v>450</v>
      </c>
      <c r="T19">
        <v>0.25</v>
      </c>
      <c r="U19" t="s">
        <v>58</v>
      </c>
      <c r="V19">
        <v>0</v>
      </c>
      <c r="W19">
        <v>1</v>
      </c>
      <c r="X19">
        <v>2</v>
      </c>
      <c r="Y19">
        <v>0</v>
      </c>
      <c r="Z19">
        <v>17.19</v>
      </c>
      <c r="AA19">
        <v>7.83</v>
      </c>
      <c r="AB19">
        <v>21</v>
      </c>
      <c r="AC19">
        <v>14.62</v>
      </c>
      <c r="AD19">
        <v>5.05</v>
      </c>
      <c r="AE19">
        <v>21</v>
      </c>
      <c r="AF19">
        <v>14.91</v>
      </c>
      <c r="AG19">
        <v>6.53</v>
      </c>
      <c r="AH19">
        <v>23</v>
      </c>
      <c r="AI19">
        <v>11.96</v>
      </c>
      <c r="AJ19">
        <v>7.31</v>
      </c>
      <c r="AK19">
        <v>23</v>
      </c>
    </row>
    <row r="20" spans="1:37">
      <c r="A20">
        <v>6</v>
      </c>
      <c r="B20">
        <v>1</v>
      </c>
      <c r="C20">
        <v>1</v>
      </c>
      <c r="D20">
        <v>1</v>
      </c>
      <c r="E20" t="s">
        <v>37</v>
      </c>
      <c r="F20" t="s">
        <v>38</v>
      </c>
      <c r="G20">
        <v>1</v>
      </c>
      <c r="H20">
        <v>0.33</v>
      </c>
      <c r="I20" t="s">
        <v>39</v>
      </c>
      <c r="J20">
        <v>2</v>
      </c>
      <c r="K20">
        <v>1</v>
      </c>
      <c r="L20">
        <v>6</v>
      </c>
      <c r="M20">
        <v>1</v>
      </c>
      <c r="N20">
        <v>28.5</v>
      </c>
      <c r="O20">
        <v>5</v>
      </c>
      <c r="P20">
        <v>142.5</v>
      </c>
      <c r="Q20">
        <v>28.5</v>
      </c>
      <c r="R20">
        <v>30</v>
      </c>
      <c r="S20">
        <v>855</v>
      </c>
      <c r="T20">
        <v>0.166666667</v>
      </c>
      <c r="U20" t="s">
        <v>59</v>
      </c>
      <c r="V20">
        <v>1</v>
      </c>
      <c r="W20">
        <v>0</v>
      </c>
      <c r="X20">
        <v>1</v>
      </c>
      <c r="Y20">
        <v>0</v>
      </c>
      <c r="Z20">
        <v>40</v>
      </c>
      <c r="AA20">
        <v>5.35</v>
      </c>
      <c r="AB20">
        <v>8</v>
      </c>
      <c r="AC20">
        <v>29.38</v>
      </c>
      <c r="AD20">
        <v>4.84</v>
      </c>
      <c r="AE20">
        <v>8</v>
      </c>
      <c r="AF20">
        <v>34.17</v>
      </c>
      <c r="AG20">
        <v>2.93</v>
      </c>
      <c r="AH20">
        <v>6</v>
      </c>
      <c r="AI20">
        <v>26.17</v>
      </c>
      <c r="AJ20">
        <v>3.54</v>
      </c>
      <c r="AK20">
        <v>6</v>
      </c>
    </row>
    <row r="21" spans="1:37">
      <c r="A21">
        <v>6</v>
      </c>
      <c r="B21">
        <v>1</v>
      </c>
      <c r="C21">
        <v>1</v>
      </c>
      <c r="D21">
        <v>1</v>
      </c>
      <c r="E21" t="s">
        <v>37</v>
      </c>
      <c r="G21">
        <v>1</v>
      </c>
      <c r="H21">
        <v>0.33</v>
      </c>
      <c r="I21" t="s">
        <v>60</v>
      </c>
      <c r="J21">
        <v>2</v>
      </c>
      <c r="K21">
        <v>1</v>
      </c>
      <c r="L21">
        <v>6</v>
      </c>
      <c r="M21">
        <v>1</v>
      </c>
      <c r="N21">
        <v>28.5</v>
      </c>
      <c r="O21">
        <v>5</v>
      </c>
      <c r="P21">
        <v>142.5</v>
      </c>
      <c r="Q21">
        <v>28.5</v>
      </c>
      <c r="R21">
        <v>30</v>
      </c>
      <c r="S21">
        <v>855</v>
      </c>
      <c r="T21">
        <v>0.166666667</v>
      </c>
      <c r="U21" t="s">
        <v>61</v>
      </c>
      <c r="V21">
        <v>0</v>
      </c>
      <c r="W21">
        <v>1</v>
      </c>
      <c r="X21">
        <v>1</v>
      </c>
      <c r="Y21">
        <v>0</v>
      </c>
      <c r="Z21">
        <v>88</v>
      </c>
      <c r="AA21">
        <v>5.01</v>
      </c>
      <c r="AB21">
        <v>8</v>
      </c>
      <c r="AC21">
        <v>79.12</v>
      </c>
      <c r="AD21">
        <v>3.64</v>
      </c>
      <c r="AE21">
        <v>8</v>
      </c>
      <c r="AF21">
        <v>82.67</v>
      </c>
      <c r="AG21">
        <v>5.57</v>
      </c>
      <c r="AH21">
        <v>6</v>
      </c>
      <c r="AI21">
        <v>76</v>
      </c>
      <c r="AJ21">
        <v>4.53</v>
      </c>
      <c r="AK21">
        <v>6</v>
      </c>
    </row>
    <row r="22" spans="1:37">
      <c r="A22">
        <v>6</v>
      </c>
      <c r="B22">
        <v>1</v>
      </c>
      <c r="C22">
        <v>1</v>
      </c>
      <c r="D22">
        <v>1</v>
      </c>
      <c r="E22" t="s">
        <v>37</v>
      </c>
      <c r="G22">
        <v>1</v>
      </c>
      <c r="H22">
        <v>0.33</v>
      </c>
      <c r="I22" t="s">
        <v>60</v>
      </c>
      <c r="J22">
        <v>2</v>
      </c>
      <c r="K22">
        <v>1</v>
      </c>
      <c r="L22">
        <v>6</v>
      </c>
      <c r="M22">
        <v>1</v>
      </c>
      <c r="N22">
        <v>28.5</v>
      </c>
      <c r="O22">
        <v>5</v>
      </c>
      <c r="P22">
        <v>142.5</v>
      </c>
      <c r="Q22">
        <v>28.5</v>
      </c>
      <c r="R22">
        <v>30</v>
      </c>
      <c r="S22">
        <v>855</v>
      </c>
      <c r="T22">
        <v>0.166666667</v>
      </c>
      <c r="U22" t="s">
        <v>62</v>
      </c>
      <c r="V22">
        <v>0</v>
      </c>
      <c r="W22">
        <v>1</v>
      </c>
      <c r="X22">
        <v>1</v>
      </c>
      <c r="Y22">
        <v>0</v>
      </c>
      <c r="Z22">
        <v>97.5</v>
      </c>
      <c r="AA22">
        <v>10.32</v>
      </c>
      <c r="AB22">
        <v>8</v>
      </c>
      <c r="AC22">
        <v>83.88</v>
      </c>
      <c r="AD22">
        <v>6.2</v>
      </c>
      <c r="AE22">
        <v>8</v>
      </c>
      <c r="AF22">
        <v>92.5</v>
      </c>
      <c r="AG22">
        <v>7.23</v>
      </c>
      <c r="AH22">
        <v>6</v>
      </c>
      <c r="AI22">
        <v>86.2</v>
      </c>
      <c r="AJ22">
        <v>6.06</v>
      </c>
      <c r="AK22">
        <v>6</v>
      </c>
    </row>
    <row r="23" spans="1:37">
      <c r="A23">
        <v>6</v>
      </c>
      <c r="B23">
        <v>1</v>
      </c>
      <c r="C23">
        <v>1</v>
      </c>
      <c r="D23">
        <v>1</v>
      </c>
      <c r="E23" t="s">
        <v>37</v>
      </c>
      <c r="G23">
        <v>1</v>
      </c>
      <c r="H23">
        <v>0.33</v>
      </c>
      <c r="I23" t="s">
        <v>60</v>
      </c>
      <c r="J23">
        <v>2</v>
      </c>
      <c r="K23">
        <v>1</v>
      </c>
      <c r="L23">
        <v>6</v>
      </c>
      <c r="M23">
        <v>1</v>
      </c>
      <c r="N23">
        <v>28.5</v>
      </c>
      <c r="O23">
        <v>5</v>
      </c>
      <c r="P23">
        <v>142.5</v>
      </c>
      <c r="Q23">
        <v>28.5</v>
      </c>
      <c r="R23">
        <v>30</v>
      </c>
      <c r="S23">
        <v>855</v>
      </c>
      <c r="T23">
        <v>0.166666667</v>
      </c>
      <c r="U23" t="s">
        <v>63</v>
      </c>
      <c r="V23">
        <v>0</v>
      </c>
      <c r="W23">
        <v>1</v>
      </c>
      <c r="X23">
        <v>1</v>
      </c>
      <c r="Y23">
        <v>0</v>
      </c>
      <c r="Z23">
        <v>95.62</v>
      </c>
      <c r="AA23">
        <v>4.37</v>
      </c>
      <c r="AB23">
        <v>8</v>
      </c>
      <c r="AC23">
        <v>89.75</v>
      </c>
      <c r="AD23">
        <v>6.2</v>
      </c>
      <c r="AE23">
        <v>8</v>
      </c>
      <c r="AF23">
        <v>88.33</v>
      </c>
      <c r="AG23">
        <v>7.63</v>
      </c>
      <c r="AH23">
        <v>6</v>
      </c>
      <c r="AI23">
        <v>84.17</v>
      </c>
      <c r="AJ23">
        <v>7.6</v>
      </c>
      <c r="AK23">
        <v>6</v>
      </c>
    </row>
    <row r="24" spans="1:37">
      <c r="A24">
        <v>6</v>
      </c>
      <c r="B24">
        <v>1</v>
      </c>
      <c r="C24">
        <v>1</v>
      </c>
      <c r="D24">
        <v>1</v>
      </c>
      <c r="E24" t="s">
        <v>37</v>
      </c>
      <c r="G24">
        <v>1</v>
      </c>
      <c r="H24">
        <v>0.33</v>
      </c>
      <c r="I24" t="s">
        <v>60</v>
      </c>
      <c r="J24">
        <v>2</v>
      </c>
      <c r="K24">
        <v>1</v>
      </c>
      <c r="L24">
        <v>6</v>
      </c>
      <c r="M24">
        <v>1</v>
      </c>
      <c r="N24">
        <v>28.5</v>
      </c>
      <c r="O24">
        <v>5</v>
      </c>
      <c r="P24">
        <v>142.5</v>
      </c>
      <c r="Q24">
        <v>28.5</v>
      </c>
      <c r="R24">
        <v>30</v>
      </c>
      <c r="S24">
        <v>855</v>
      </c>
      <c r="T24">
        <v>0.166666667</v>
      </c>
      <c r="U24" t="s">
        <v>64</v>
      </c>
      <c r="V24">
        <v>0</v>
      </c>
      <c r="W24">
        <v>1</v>
      </c>
      <c r="X24">
        <v>1</v>
      </c>
      <c r="Y24">
        <v>0</v>
      </c>
      <c r="Z24">
        <v>85.75</v>
      </c>
      <c r="AA24">
        <v>10.93</v>
      </c>
      <c r="AB24">
        <v>8</v>
      </c>
      <c r="AC24">
        <v>80.25</v>
      </c>
      <c r="AD24">
        <v>9.33</v>
      </c>
      <c r="AE24">
        <v>8</v>
      </c>
      <c r="AF24">
        <v>84.17</v>
      </c>
      <c r="AG24">
        <v>7.39</v>
      </c>
      <c r="AH24">
        <v>6</v>
      </c>
      <c r="AI24">
        <v>74.2</v>
      </c>
      <c r="AJ24">
        <v>9.52</v>
      </c>
      <c r="AK24">
        <v>6</v>
      </c>
    </row>
    <row r="25" spans="1:37">
      <c r="A25">
        <v>7</v>
      </c>
      <c r="B25">
        <v>1</v>
      </c>
      <c r="C25">
        <v>1</v>
      </c>
      <c r="D25">
        <v>1</v>
      </c>
      <c r="E25" t="s">
        <v>37</v>
      </c>
      <c r="F25" t="s">
        <v>38</v>
      </c>
      <c r="G25">
        <v>1</v>
      </c>
      <c r="H25">
        <v>1</v>
      </c>
      <c r="I25" t="s">
        <v>39</v>
      </c>
      <c r="J25">
        <v>1</v>
      </c>
      <c r="K25">
        <v>1</v>
      </c>
      <c r="L25">
        <v>7.08</v>
      </c>
      <c r="M25">
        <v>1</v>
      </c>
      <c r="Q25">
        <v>12.5</v>
      </c>
      <c r="R25">
        <v>15</v>
      </c>
      <c r="S25">
        <v>187.5</v>
      </c>
      <c r="U25" t="s">
        <v>65</v>
      </c>
      <c r="V25">
        <v>1</v>
      </c>
      <c r="W25">
        <v>0</v>
      </c>
      <c r="X25">
        <v>1</v>
      </c>
      <c r="Y25">
        <v>0</v>
      </c>
      <c r="Z25">
        <v>9.74</v>
      </c>
      <c r="AA25">
        <v>3.25</v>
      </c>
      <c r="AB25">
        <v>35</v>
      </c>
      <c r="AC25">
        <v>7.94</v>
      </c>
      <c r="AD25">
        <v>2.76</v>
      </c>
      <c r="AE25">
        <v>35</v>
      </c>
      <c r="AF25">
        <v>9.07</v>
      </c>
      <c r="AG25">
        <v>3.31</v>
      </c>
      <c r="AH25">
        <v>28</v>
      </c>
      <c r="AI25">
        <v>8.71</v>
      </c>
      <c r="AJ25">
        <v>2.83</v>
      </c>
      <c r="AK25">
        <v>28</v>
      </c>
    </row>
    <row r="26" spans="1:37">
      <c r="A26">
        <v>7</v>
      </c>
      <c r="B26">
        <v>1</v>
      </c>
      <c r="C26">
        <v>1</v>
      </c>
      <c r="D26">
        <v>1</v>
      </c>
      <c r="E26" t="s">
        <v>37</v>
      </c>
      <c r="G26">
        <v>1</v>
      </c>
      <c r="H26">
        <v>1</v>
      </c>
      <c r="I26" t="s">
        <v>39</v>
      </c>
      <c r="J26">
        <v>1</v>
      </c>
      <c r="K26">
        <v>1</v>
      </c>
      <c r="L26">
        <v>7.08</v>
      </c>
      <c r="M26">
        <v>1</v>
      </c>
      <c r="Q26">
        <v>12.5</v>
      </c>
      <c r="R26">
        <v>15</v>
      </c>
      <c r="S26">
        <v>187.5</v>
      </c>
      <c r="U26" t="s">
        <v>66</v>
      </c>
      <c r="V26">
        <v>0</v>
      </c>
      <c r="W26">
        <v>1</v>
      </c>
      <c r="X26">
        <v>1</v>
      </c>
      <c r="Y26">
        <v>0</v>
      </c>
      <c r="Z26">
        <v>4.8</v>
      </c>
      <c r="AA26">
        <v>3.18</v>
      </c>
      <c r="AB26">
        <v>35</v>
      </c>
      <c r="AC26">
        <v>1.06</v>
      </c>
      <c r="AD26">
        <v>0.97</v>
      </c>
      <c r="AE26">
        <v>35</v>
      </c>
      <c r="AF26">
        <v>4.29</v>
      </c>
      <c r="AG26">
        <v>2.68</v>
      </c>
      <c r="AH26">
        <v>28</v>
      </c>
      <c r="AI26">
        <v>1.07</v>
      </c>
      <c r="AJ26">
        <v>0.9</v>
      </c>
      <c r="AK26">
        <v>28</v>
      </c>
    </row>
    <row r="27" spans="1:37">
      <c r="A27">
        <v>7</v>
      </c>
      <c r="B27">
        <v>1</v>
      </c>
      <c r="C27">
        <v>1</v>
      </c>
      <c r="D27">
        <v>1</v>
      </c>
      <c r="E27" t="s">
        <v>37</v>
      </c>
      <c r="F27" t="s">
        <v>38</v>
      </c>
      <c r="G27">
        <v>1</v>
      </c>
      <c r="H27">
        <v>1</v>
      </c>
      <c r="I27" t="s">
        <v>67</v>
      </c>
      <c r="J27">
        <v>2</v>
      </c>
      <c r="K27">
        <v>1</v>
      </c>
      <c r="L27">
        <v>7.08</v>
      </c>
      <c r="M27">
        <v>1</v>
      </c>
      <c r="Q27">
        <v>12.5</v>
      </c>
      <c r="R27">
        <v>15</v>
      </c>
      <c r="S27">
        <v>187.5</v>
      </c>
      <c r="U27" t="s">
        <v>65</v>
      </c>
      <c r="V27">
        <v>1</v>
      </c>
      <c r="W27">
        <v>0</v>
      </c>
      <c r="X27">
        <v>1</v>
      </c>
      <c r="Y27">
        <v>0</v>
      </c>
      <c r="Z27">
        <v>9.74</v>
      </c>
      <c r="AA27">
        <v>3.25</v>
      </c>
      <c r="AB27">
        <v>35</v>
      </c>
      <c r="AC27">
        <v>7.94</v>
      </c>
      <c r="AD27">
        <v>2.76</v>
      </c>
      <c r="AE27">
        <v>35</v>
      </c>
      <c r="AF27">
        <v>9.77</v>
      </c>
      <c r="AG27">
        <v>2.83</v>
      </c>
      <c r="AH27">
        <v>35</v>
      </c>
      <c r="AI27">
        <v>9.74</v>
      </c>
      <c r="AJ27">
        <v>3.25</v>
      </c>
      <c r="AK27">
        <v>35</v>
      </c>
    </row>
    <row r="28" spans="1:37">
      <c r="A28">
        <v>7</v>
      </c>
      <c r="B28">
        <v>1</v>
      </c>
      <c r="C28">
        <v>1</v>
      </c>
      <c r="D28">
        <v>1</v>
      </c>
      <c r="E28" t="s">
        <v>37</v>
      </c>
      <c r="G28">
        <v>1</v>
      </c>
      <c r="H28">
        <v>1</v>
      </c>
      <c r="I28" t="s">
        <v>67</v>
      </c>
      <c r="J28">
        <v>2</v>
      </c>
      <c r="K28">
        <v>1</v>
      </c>
      <c r="L28">
        <v>7.08</v>
      </c>
      <c r="M28">
        <v>1</v>
      </c>
      <c r="Q28">
        <v>12.5</v>
      </c>
      <c r="R28">
        <v>15</v>
      </c>
      <c r="S28">
        <v>187.5</v>
      </c>
      <c r="U28" t="s">
        <v>66</v>
      </c>
      <c r="V28">
        <v>0</v>
      </c>
      <c r="W28">
        <v>1</v>
      </c>
      <c r="X28">
        <v>1</v>
      </c>
      <c r="Y28">
        <v>0</v>
      </c>
      <c r="Z28">
        <v>4.8</v>
      </c>
      <c r="AA28">
        <v>3.18</v>
      </c>
      <c r="AB28">
        <v>35</v>
      </c>
      <c r="AC28">
        <v>1.06</v>
      </c>
      <c r="AD28">
        <v>0.97</v>
      </c>
      <c r="AE28">
        <v>35</v>
      </c>
      <c r="AF28">
        <v>5.74</v>
      </c>
      <c r="AG28">
        <v>3.23</v>
      </c>
      <c r="AH28">
        <v>35</v>
      </c>
      <c r="AI28">
        <v>1.03</v>
      </c>
      <c r="AJ28">
        <v>0.92</v>
      </c>
      <c r="AK28">
        <v>35</v>
      </c>
    </row>
    <row r="29" spans="1:37">
      <c r="A29">
        <v>8</v>
      </c>
      <c r="B29">
        <v>1</v>
      </c>
      <c r="C29">
        <v>1</v>
      </c>
      <c r="D29">
        <v>1</v>
      </c>
      <c r="E29" t="s">
        <v>37</v>
      </c>
      <c r="F29" t="s">
        <v>46</v>
      </c>
      <c r="G29">
        <v>1</v>
      </c>
      <c r="H29">
        <v>0.33</v>
      </c>
      <c r="I29" t="s">
        <v>39</v>
      </c>
      <c r="J29">
        <v>1</v>
      </c>
      <c r="K29">
        <v>1</v>
      </c>
      <c r="L29">
        <v>8.91</v>
      </c>
      <c r="M29">
        <v>3</v>
      </c>
      <c r="N29">
        <v>22</v>
      </c>
      <c r="O29">
        <v>12</v>
      </c>
      <c r="P29">
        <v>264</v>
      </c>
      <c r="Q29">
        <v>22</v>
      </c>
      <c r="R29">
        <v>53.05</v>
      </c>
      <c r="S29">
        <v>1167.1</v>
      </c>
      <c r="T29">
        <v>0.226201697</v>
      </c>
      <c r="U29" t="s">
        <v>68</v>
      </c>
      <c r="V29">
        <v>1</v>
      </c>
      <c r="W29">
        <v>0</v>
      </c>
      <c r="X29">
        <v>2</v>
      </c>
      <c r="Y29">
        <v>0</v>
      </c>
      <c r="Z29">
        <v>41.71</v>
      </c>
      <c r="AA29">
        <v>6.86</v>
      </c>
      <c r="AB29">
        <v>22</v>
      </c>
      <c r="AC29">
        <v>33.29</v>
      </c>
      <c r="AD29">
        <v>5.47</v>
      </c>
      <c r="AE29">
        <v>22</v>
      </c>
      <c r="AF29">
        <v>37.55</v>
      </c>
      <c r="AG29">
        <v>7.57</v>
      </c>
      <c r="AH29">
        <v>22</v>
      </c>
      <c r="AI29">
        <v>35.59</v>
      </c>
      <c r="AJ29">
        <v>7.49</v>
      </c>
      <c r="AK29">
        <v>22</v>
      </c>
    </row>
    <row r="30" spans="1:37">
      <c r="A30">
        <v>8</v>
      </c>
      <c r="B30">
        <v>1</v>
      </c>
      <c r="C30">
        <v>1</v>
      </c>
      <c r="D30">
        <v>1</v>
      </c>
      <c r="E30" t="s">
        <v>37</v>
      </c>
      <c r="F30" t="s">
        <v>46</v>
      </c>
      <c r="G30">
        <v>1</v>
      </c>
      <c r="H30">
        <v>0.33</v>
      </c>
      <c r="I30" t="s">
        <v>69</v>
      </c>
      <c r="J30">
        <v>2</v>
      </c>
      <c r="K30">
        <v>1</v>
      </c>
      <c r="L30">
        <v>8.91</v>
      </c>
      <c r="M30">
        <v>3</v>
      </c>
      <c r="N30">
        <v>22</v>
      </c>
      <c r="O30">
        <v>12</v>
      </c>
      <c r="P30">
        <v>264</v>
      </c>
      <c r="Q30">
        <v>22</v>
      </c>
      <c r="R30">
        <v>53.05</v>
      </c>
      <c r="S30">
        <v>1167.1</v>
      </c>
      <c r="T30">
        <v>0.226201697</v>
      </c>
      <c r="U30" t="s">
        <v>68</v>
      </c>
      <c r="V30">
        <v>1</v>
      </c>
      <c r="W30">
        <v>0</v>
      </c>
      <c r="X30">
        <v>2</v>
      </c>
      <c r="Y30">
        <v>0</v>
      </c>
      <c r="Z30">
        <v>41.71</v>
      </c>
      <c r="AA30">
        <v>6.86</v>
      </c>
      <c r="AB30">
        <v>22</v>
      </c>
      <c r="AC30">
        <v>33.29</v>
      </c>
      <c r="AD30">
        <v>5.47</v>
      </c>
      <c r="AE30">
        <v>22</v>
      </c>
      <c r="AF30">
        <v>37.38</v>
      </c>
      <c r="AG30">
        <v>5.74</v>
      </c>
      <c r="AH30">
        <v>24</v>
      </c>
      <c r="AI30">
        <v>31.5</v>
      </c>
      <c r="AJ30">
        <v>5.17</v>
      </c>
      <c r="AK30">
        <v>24</v>
      </c>
    </row>
    <row r="31" spans="1:37">
      <c r="A31">
        <v>8</v>
      </c>
      <c r="B31">
        <v>1</v>
      </c>
      <c r="C31">
        <v>1</v>
      </c>
      <c r="D31">
        <v>1</v>
      </c>
      <c r="E31" t="s">
        <v>37</v>
      </c>
      <c r="F31" t="s">
        <v>46</v>
      </c>
      <c r="G31">
        <v>1</v>
      </c>
      <c r="H31">
        <v>0.33</v>
      </c>
      <c r="I31" t="s">
        <v>39</v>
      </c>
      <c r="J31">
        <v>1</v>
      </c>
      <c r="K31">
        <v>1</v>
      </c>
      <c r="L31">
        <v>8.91</v>
      </c>
      <c r="M31">
        <v>3</v>
      </c>
      <c r="N31">
        <v>22</v>
      </c>
      <c r="O31">
        <v>12</v>
      </c>
      <c r="P31">
        <v>264</v>
      </c>
      <c r="Q31">
        <v>22</v>
      </c>
      <c r="R31">
        <v>53.05</v>
      </c>
      <c r="S31">
        <v>1167.1</v>
      </c>
      <c r="T31">
        <v>0.226201697</v>
      </c>
      <c r="U31" t="s">
        <v>70</v>
      </c>
      <c r="V31">
        <v>0</v>
      </c>
      <c r="W31">
        <v>1</v>
      </c>
      <c r="X31">
        <v>2</v>
      </c>
      <c r="Y31">
        <v>0</v>
      </c>
      <c r="Z31">
        <v>6.46</v>
      </c>
      <c r="AA31">
        <v>3.02</v>
      </c>
      <c r="AB31">
        <v>24</v>
      </c>
      <c r="AC31">
        <v>4.08</v>
      </c>
      <c r="AD31">
        <v>2.43</v>
      </c>
      <c r="AE31">
        <v>24</v>
      </c>
      <c r="AF31">
        <v>5.91</v>
      </c>
      <c r="AG31">
        <v>2.65</v>
      </c>
      <c r="AH31">
        <v>22</v>
      </c>
      <c r="AI31">
        <v>5.55</v>
      </c>
      <c r="AJ31">
        <v>3.89</v>
      </c>
      <c r="AK31">
        <v>22</v>
      </c>
    </row>
    <row r="32" spans="1:37">
      <c r="A32">
        <v>8</v>
      </c>
      <c r="B32">
        <v>1</v>
      </c>
      <c r="C32">
        <v>1</v>
      </c>
      <c r="D32">
        <v>1</v>
      </c>
      <c r="E32" t="s">
        <v>37</v>
      </c>
      <c r="F32" t="s">
        <v>46</v>
      </c>
      <c r="G32">
        <v>1</v>
      </c>
      <c r="H32">
        <v>0.33</v>
      </c>
      <c r="I32" t="s">
        <v>71</v>
      </c>
      <c r="J32">
        <v>2</v>
      </c>
      <c r="K32">
        <v>1</v>
      </c>
      <c r="L32">
        <v>8.91</v>
      </c>
      <c r="M32">
        <v>3</v>
      </c>
      <c r="N32">
        <v>22</v>
      </c>
      <c r="O32">
        <v>12</v>
      </c>
      <c r="P32">
        <v>264</v>
      </c>
      <c r="Q32">
        <v>22</v>
      </c>
      <c r="R32">
        <v>53.05</v>
      </c>
      <c r="S32">
        <v>1167.1</v>
      </c>
      <c r="T32">
        <v>0.226201697</v>
      </c>
      <c r="U32" t="s">
        <v>70</v>
      </c>
      <c r="V32">
        <v>0</v>
      </c>
      <c r="W32">
        <v>1</v>
      </c>
      <c r="X32">
        <v>2</v>
      </c>
      <c r="Y32">
        <v>0</v>
      </c>
      <c r="Z32">
        <v>6.46</v>
      </c>
      <c r="AA32">
        <v>3.02</v>
      </c>
      <c r="AB32">
        <v>24</v>
      </c>
      <c r="AC32">
        <v>4.08</v>
      </c>
      <c r="AD32">
        <v>2.43</v>
      </c>
      <c r="AE32">
        <v>24</v>
      </c>
      <c r="AF32">
        <v>6.46</v>
      </c>
      <c r="AG32">
        <v>3.02</v>
      </c>
      <c r="AH32">
        <v>22</v>
      </c>
      <c r="AI32">
        <v>4.08</v>
      </c>
      <c r="AJ32">
        <v>2.43</v>
      </c>
      <c r="AK32">
        <v>24</v>
      </c>
    </row>
    <row r="33" spans="1:37">
      <c r="A33">
        <v>9</v>
      </c>
      <c r="B33">
        <v>0</v>
      </c>
      <c r="C33">
        <v>1</v>
      </c>
      <c r="D33">
        <v>1</v>
      </c>
      <c r="E33" t="s">
        <v>51</v>
      </c>
      <c r="F33" t="s">
        <v>46</v>
      </c>
      <c r="G33">
        <v>1</v>
      </c>
      <c r="H33">
        <v>0.125</v>
      </c>
      <c r="I33" t="s">
        <v>39</v>
      </c>
      <c r="J33">
        <v>1</v>
      </c>
      <c r="K33">
        <v>1</v>
      </c>
      <c r="L33">
        <v>9.28</v>
      </c>
      <c r="M33">
        <v>4</v>
      </c>
      <c r="N33">
        <v>8.85</v>
      </c>
      <c r="O33">
        <v>5</v>
      </c>
      <c r="P33">
        <v>44.25</v>
      </c>
      <c r="Q33">
        <v>8.85</v>
      </c>
      <c r="R33">
        <v>45</v>
      </c>
      <c r="S33">
        <v>398.25</v>
      </c>
      <c r="T33">
        <v>0.111111111</v>
      </c>
      <c r="U33" t="s">
        <v>72</v>
      </c>
      <c r="V33">
        <v>1</v>
      </c>
      <c r="W33">
        <v>0</v>
      </c>
      <c r="X33">
        <v>2</v>
      </c>
      <c r="Y33">
        <v>0</v>
      </c>
      <c r="Z33">
        <v>0.723</v>
      </c>
      <c r="AA33">
        <v>0.141</v>
      </c>
      <c r="AB33">
        <v>41</v>
      </c>
      <c r="AC33">
        <v>0.504</v>
      </c>
      <c r="AD33">
        <v>0.258</v>
      </c>
      <c r="AE33">
        <v>41</v>
      </c>
      <c r="AF33">
        <v>0.513</v>
      </c>
      <c r="AG33">
        <v>0.139</v>
      </c>
      <c r="AH33">
        <v>40</v>
      </c>
      <c r="AI33">
        <v>0.501</v>
      </c>
      <c r="AJ33">
        <v>0.248</v>
      </c>
      <c r="AK33">
        <v>40</v>
      </c>
    </row>
    <row r="34" spans="1:37">
      <c r="A34">
        <v>9</v>
      </c>
      <c r="B34">
        <v>0</v>
      </c>
      <c r="C34">
        <v>1</v>
      </c>
      <c r="D34">
        <v>1</v>
      </c>
      <c r="E34" t="s">
        <v>51</v>
      </c>
      <c r="F34" t="s">
        <v>46</v>
      </c>
      <c r="G34">
        <v>1</v>
      </c>
      <c r="H34">
        <v>0.125</v>
      </c>
      <c r="I34" t="s">
        <v>39</v>
      </c>
      <c r="J34">
        <v>1</v>
      </c>
      <c r="K34">
        <v>1</v>
      </c>
      <c r="L34">
        <v>9.28</v>
      </c>
      <c r="M34">
        <v>4</v>
      </c>
      <c r="N34">
        <v>8.85</v>
      </c>
      <c r="O34">
        <v>5</v>
      </c>
      <c r="P34">
        <v>44.25</v>
      </c>
      <c r="Q34">
        <v>8.85</v>
      </c>
      <c r="R34">
        <v>45</v>
      </c>
      <c r="S34">
        <v>398.25</v>
      </c>
      <c r="T34">
        <v>0.111111111</v>
      </c>
      <c r="U34" t="s">
        <v>73</v>
      </c>
      <c r="V34">
        <v>0</v>
      </c>
      <c r="W34">
        <v>1</v>
      </c>
      <c r="X34">
        <v>2</v>
      </c>
      <c r="Y34">
        <v>0</v>
      </c>
      <c r="Z34">
        <v>0.74</v>
      </c>
      <c r="AA34">
        <v>0.197</v>
      </c>
      <c r="AB34">
        <v>41</v>
      </c>
      <c r="AC34">
        <v>0.522</v>
      </c>
      <c r="AD34">
        <v>0.248</v>
      </c>
      <c r="AE34">
        <v>41</v>
      </c>
      <c r="AF34">
        <v>0.547</v>
      </c>
      <c r="AG34">
        <v>0.148</v>
      </c>
      <c r="AH34">
        <v>40</v>
      </c>
      <c r="AI34">
        <v>0.543</v>
      </c>
      <c r="AJ34">
        <v>0.254</v>
      </c>
      <c r="AK34">
        <v>40</v>
      </c>
    </row>
    <row r="35" spans="1:37">
      <c r="A35">
        <v>9</v>
      </c>
      <c r="B35">
        <v>0</v>
      </c>
      <c r="C35">
        <v>1</v>
      </c>
      <c r="D35">
        <v>1</v>
      </c>
      <c r="E35" t="s">
        <v>51</v>
      </c>
      <c r="F35" t="s">
        <v>46</v>
      </c>
      <c r="G35">
        <v>1</v>
      </c>
      <c r="H35">
        <v>0.125</v>
      </c>
      <c r="I35" t="s">
        <v>39</v>
      </c>
      <c r="J35">
        <v>1</v>
      </c>
      <c r="K35">
        <v>1</v>
      </c>
      <c r="L35">
        <v>9.28</v>
      </c>
      <c r="M35">
        <v>4</v>
      </c>
      <c r="N35">
        <v>8.85</v>
      </c>
      <c r="O35">
        <v>5</v>
      </c>
      <c r="P35">
        <v>44.25</v>
      </c>
      <c r="Q35">
        <v>8.85</v>
      </c>
      <c r="R35">
        <v>45</v>
      </c>
      <c r="S35">
        <v>398.25</v>
      </c>
      <c r="T35">
        <v>0.111111111</v>
      </c>
      <c r="U35" t="s">
        <v>74</v>
      </c>
      <c r="V35">
        <v>0</v>
      </c>
      <c r="W35">
        <v>1</v>
      </c>
      <c r="X35">
        <v>2</v>
      </c>
      <c r="Y35">
        <v>0</v>
      </c>
      <c r="Z35">
        <v>1.575</v>
      </c>
      <c r="AA35">
        <v>0.429</v>
      </c>
      <c r="AB35">
        <v>41</v>
      </c>
      <c r="AC35">
        <v>0.916</v>
      </c>
      <c r="AD35">
        <v>0.416</v>
      </c>
      <c r="AE35">
        <v>41</v>
      </c>
      <c r="AF35">
        <v>1.016</v>
      </c>
      <c r="AG35">
        <v>0.394</v>
      </c>
      <c r="AH35">
        <v>40</v>
      </c>
      <c r="AI35">
        <v>0.955</v>
      </c>
      <c r="AJ35">
        <v>0.442</v>
      </c>
      <c r="AK35">
        <v>40</v>
      </c>
    </row>
    <row r="36" spans="1:37">
      <c r="A36">
        <v>9</v>
      </c>
      <c r="B36">
        <v>0</v>
      </c>
      <c r="C36">
        <v>1</v>
      </c>
      <c r="D36">
        <v>1</v>
      </c>
      <c r="E36" t="s">
        <v>51</v>
      </c>
      <c r="F36" t="s">
        <v>46</v>
      </c>
      <c r="G36">
        <v>1</v>
      </c>
      <c r="H36">
        <v>0.125</v>
      </c>
      <c r="I36" t="s">
        <v>71</v>
      </c>
      <c r="J36">
        <v>2</v>
      </c>
      <c r="K36">
        <v>1</v>
      </c>
      <c r="L36">
        <v>9.28</v>
      </c>
      <c r="M36">
        <v>4</v>
      </c>
      <c r="N36">
        <v>8.85</v>
      </c>
      <c r="O36">
        <v>5</v>
      </c>
      <c r="P36">
        <v>44.25</v>
      </c>
      <c r="Q36">
        <v>8.85</v>
      </c>
      <c r="R36">
        <v>45</v>
      </c>
      <c r="S36">
        <v>398.25</v>
      </c>
      <c r="T36">
        <v>0.111111111</v>
      </c>
      <c r="U36" t="s">
        <v>72</v>
      </c>
      <c r="V36">
        <v>1</v>
      </c>
      <c r="W36">
        <v>0</v>
      </c>
      <c r="X36">
        <v>2</v>
      </c>
      <c r="Y36">
        <v>0</v>
      </c>
      <c r="Z36">
        <v>0.723</v>
      </c>
      <c r="AA36">
        <v>0.141</v>
      </c>
      <c r="AB36">
        <v>41</v>
      </c>
      <c r="AC36">
        <v>0.504</v>
      </c>
      <c r="AD36">
        <v>0.258</v>
      </c>
      <c r="AE36">
        <v>41</v>
      </c>
      <c r="AF36">
        <v>0.632</v>
      </c>
      <c r="AG36">
        <v>0.16</v>
      </c>
      <c r="AH36">
        <v>40</v>
      </c>
      <c r="AI36">
        <v>0.476</v>
      </c>
      <c r="AJ36">
        <v>0.213</v>
      </c>
      <c r="AK36">
        <v>40</v>
      </c>
    </row>
    <row r="37" spans="1:37">
      <c r="A37">
        <v>9</v>
      </c>
      <c r="B37">
        <v>0</v>
      </c>
      <c r="C37">
        <v>1</v>
      </c>
      <c r="D37">
        <v>1</v>
      </c>
      <c r="E37" t="s">
        <v>51</v>
      </c>
      <c r="G37">
        <v>1</v>
      </c>
      <c r="H37">
        <v>0.125</v>
      </c>
      <c r="I37" t="s">
        <v>71</v>
      </c>
      <c r="J37">
        <v>2</v>
      </c>
      <c r="K37">
        <v>1</v>
      </c>
      <c r="L37">
        <v>9.28</v>
      </c>
      <c r="M37">
        <v>4</v>
      </c>
      <c r="N37">
        <v>8.85</v>
      </c>
      <c r="O37">
        <v>5</v>
      </c>
      <c r="P37">
        <v>44.25</v>
      </c>
      <c r="Q37">
        <v>8.85</v>
      </c>
      <c r="R37">
        <v>45</v>
      </c>
      <c r="S37">
        <v>398.25</v>
      </c>
      <c r="T37">
        <v>0.111111111</v>
      </c>
      <c r="U37" t="s">
        <v>73</v>
      </c>
      <c r="V37">
        <v>0</v>
      </c>
      <c r="W37">
        <v>1</v>
      </c>
      <c r="X37">
        <v>2</v>
      </c>
      <c r="Y37">
        <v>0</v>
      </c>
      <c r="Z37">
        <v>0.74</v>
      </c>
      <c r="AA37">
        <v>0.197</v>
      </c>
      <c r="AB37">
        <v>41</v>
      </c>
      <c r="AC37">
        <v>0.522</v>
      </c>
      <c r="AD37">
        <v>0.248</v>
      </c>
      <c r="AE37">
        <v>41</v>
      </c>
      <c r="AF37">
        <v>0.655</v>
      </c>
      <c r="AG37">
        <v>0.142</v>
      </c>
      <c r="AH37">
        <v>40</v>
      </c>
      <c r="AI37">
        <v>0.565</v>
      </c>
      <c r="AJ37">
        <v>0.284</v>
      </c>
      <c r="AK37">
        <v>40</v>
      </c>
    </row>
    <row r="38" spans="1:37">
      <c r="A38">
        <v>9</v>
      </c>
      <c r="B38">
        <v>0</v>
      </c>
      <c r="C38">
        <v>1</v>
      </c>
      <c r="D38">
        <v>1</v>
      </c>
      <c r="E38" t="s">
        <v>51</v>
      </c>
      <c r="G38">
        <v>1</v>
      </c>
      <c r="H38">
        <v>0.125</v>
      </c>
      <c r="I38" t="s">
        <v>71</v>
      </c>
      <c r="J38">
        <v>2</v>
      </c>
      <c r="K38">
        <v>1</v>
      </c>
      <c r="L38">
        <v>9.28</v>
      </c>
      <c r="M38">
        <v>4</v>
      </c>
      <c r="N38">
        <v>8.85</v>
      </c>
      <c r="O38">
        <v>5</v>
      </c>
      <c r="P38">
        <v>44.25</v>
      </c>
      <c r="Q38">
        <v>8.85</v>
      </c>
      <c r="R38">
        <v>45</v>
      </c>
      <c r="S38">
        <v>398.25</v>
      </c>
      <c r="T38">
        <v>0.111111111</v>
      </c>
      <c r="U38" t="s">
        <v>74</v>
      </c>
      <c r="V38">
        <v>0</v>
      </c>
      <c r="W38">
        <v>1</v>
      </c>
      <c r="X38">
        <v>2</v>
      </c>
      <c r="Y38">
        <v>0</v>
      </c>
      <c r="Z38">
        <v>1.575</v>
      </c>
      <c r="AA38">
        <v>0.429</v>
      </c>
      <c r="AB38">
        <v>41</v>
      </c>
      <c r="AC38">
        <v>0.916</v>
      </c>
      <c r="AD38">
        <v>0.416</v>
      </c>
      <c r="AE38">
        <v>41</v>
      </c>
      <c r="AF38">
        <v>1.39</v>
      </c>
      <c r="AG38">
        <v>0.347</v>
      </c>
      <c r="AH38">
        <v>40</v>
      </c>
      <c r="AI38">
        <v>0.96</v>
      </c>
      <c r="AJ38">
        <v>0.429</v>
      </c>
      <c r="AK38">
        <v>40</v>
      </c>
    </row>
    <row r="39" spans="1:37">
      <c r="A39">
        <v>10</v>
      </c>
      <c r="B39">
        <v>0</v>
      </c>
      <c r="C39">
        <v>1</v>
      </c>
      <c r="D39">
        <v>1</v>
      </c>
      <c r="E39" t="s">
        <v>37</v>
      </c>
      <c r="F39" t="s">
        <v>38</v>
      </c>
      <c r="G39">
        <v>1</v>
      </c>
      <c r="H39">
        <v>0.33</v>
      </c>
      <c r="I39" t="s">
        <v>39</v>
      </c>
      <c r="J39">
        <v>1</v>
      </c>
      <c r="K39">
        <v>1</v>
      </c>
      <c r="L39">
        <v>9.5</v>
      </c>
      <c r="M39">
        <v>4</v>
      </c>
      <c r="N39">
        <v>24</v>
      </c>
      <c r="O39">
        <v>5</v>
      </c>
      <c r="P39">
        <v>120</v>
      </c>
      <c r="Q39">
        <v>24</v>
      </c>
      <c r="R39">
        <v>35</v>
      </c>
      <c r="S39">
        <v>840</v>
      </c>
      <c r="T39">
        <v>0.142857143</v>
      </c>
      <c r="U39" t="s">
        <v>75</v>
      </c>
      <c r="V39">
        <v>1</v>
      </c>
      <c r="W39">
        <v>0</v>
      </c>
      <c r="X39">
        <v>2</v>
      </c>
      <c r="Y39">
        <v>0</v>
      </c>
      <c r="Z39">
        <v>12.88</v>
      </c>
      <c r="AA39">
        <v>4.77</v>
      </c>
      <c r="AB39">
        <v>26</v>
      </c>
      <c r="AC39">
        <v>6.5</v>
      </c>
      <c r="AD39">
        <v>3.59</v>
      </c>
      <c r="AE39">
        <v>26</v>
      </c>
      <c r="AF39">
        <v>8.58</v>
      </c>
      <c r="AG39">
        <v>3.97</v>
      </c>
      <c r="AH39">
        <v>24</v>
      </c>
      <c r="AI39">
        <v>7.58</v>
      </c>
      <c r="AJ39">
        <v>3.48</v>
      </c>
      <c r="AK39">
        <v>24</v>
      </c>
    </row>
    <row r="40" spans="1:37">
      <c r="A40">
        <v>10</v>
      </c>
      <c r="B40">
        <v>0</v>
      </c>
      <c r="C40">
        <v>1</v>
      </c>
      <c r="D40">
        <v>1</v>
      </c>
      <c r="E40" t="s">
        <v>37</v>
      </c>
      <c r="F40" t="s">
        <v>38</v>
      </c>
      <c r="G40">
        <v>1</v>
      </c>
      <c r="H40">
        <v>0.33</v>
      </c>
      <c r="I40" t="s">
        <v>39</v>
      </c>
      <c r="J40">
        <v>1</v>
      </c>
      <c r="K40">
        <v>1</v>
      </c>
      <c r="L40">
        <v>9.5</v>
      </c>
      <c r="M40">
        <v>4</v>
      </c>
      <c r="N40">
        <v>24</v>
      </c>
      <c r="O40">
        <v>5</v>
      </c>
      <c r="P40">
        <v>120</v>
      </c>
      <c r="Q40">
        <v>24</v>
      </c>
      <c r="R40">
        <v>35</v>
      </c>
      <c r="S40">
        <v>840</v>
      </c>
      <c r="T40">
        <v>0.142857143</v>
      </c>
      <c r="U40" t="s">
        <v>76</v>
      </c>
      <c r="V40">
        <v>1</v>
      </c>
      <c r="W40">
        <v>0</v>
      </c>
      <c r="X40">
        <v>2</v>
      </c>
      <c r="Y40">
        <v>0</v>
      </c>
      <c r="Z40">
        <v>12.88</v>
      </c>
      <c r="AA40">
        <v>5.94</v>
      </c>
      <c r="AB40">
        <v>26</v>
      </c>
      <c r="AC40">
        <v>6.04</v>
      </c>
      <c r="AD40">
        <v>3.72</v>
      </c>
      <c r="AE40">
        <v>26</v>
      </c>
      <c r="AF40">
        <v>12.33</v>
      </c>
      <c r="AG40">
        <v>5.93</v>
      </c>
      <c r="AH40">
        <v>24</v>
      </c>
      <c r="AI40">
        <v>7.21</v>
      </c>
      <c r="AJ40">
        <v>5.1</v>
      </c>
      <c r="AK40">
        <v>24</v>
      </c>
    </row>
    <row r="41" spans="1:37">
      <c r="A41">
        <v>10</v>
      </c>
      <c r="B41">
        <v>0</v>
      </c>
      <c r="C41">
        <v>1</v>
      </c>
      <c r="D41">
        <v>1</v>
      </c>
      <c r="E41" t="s">
        <v>37</v>
      </c>
      <c r="G41">
        <v>1</v>
      </c>
      <c r="H41">
        <v>0.33</v>
      </c>
      <c r="I41" t="s">
        <v>39</v>
      </c>
      <c r="J41">
        <v>1</v>
      </c>
      <c r="K41">
        <v>1</v>
      </c>
      <c r="L41">
        <v>9.5</v>
      </c>
      <c r="M41">
        <v>4</v>
      </c>
      <c r="N41">
        <v>24</v>
      </c>
      <c r="O41">
        <v>5</v>
      </c>
      <c r="P41">
        <v>120</v>
      </c>
      <c r="Q41">
        <v>24</v>
      </c>
      <c r="R41">
        <v>35</v>
      </c>
      <c r="S41">
        <v>840</v>
      </c>
      <c r="T41">
        <v>0.142857143</v>
      </c>
      <c r="U41" t="s">
        <v>77</v>
      </c>
      <c r="V41">
        <v>0</v>
      </c>
      <c r="W41">
        <v>1</v>
      </c>
      <c r="X41">
        <v>2</v>
      </c>
      <c r="Y41">
        <v>0</v>
      </c>
      <c r="Z41">
        <v>19.04</v>
      </c>
      <c r="AA41">
        <v>8.07</v>
      </c>
      <c r="AB41">
        <v>26</v>
      </c>
      <c r="AC41">
        <v>6.15</v>
      </c>
      <c r="AD41">
        <v>3.48</v>
      </c>
      <c r="AE41">
        <v>26</v>
      </c>
      <c r="AF41">
        <v>8.25</v>
      </c>
      <c r="AG41">
        <v>4.7</v>
      </c>
      <c r="AH41">
        <v>24</v>
      </c>
      <c r="AI41">
        <v>5.46</v>
      </c>
      <c r="AJ41">
        <v>2.72</v>
      </c>
      <c r="AK41">
        <v>24</v>
      </c>
    </row>
    <row r="42" spans="1:37">
      <c r="A42">
        <v>11</v>
      </c>
      <c r="B42">
        <v>0</v>
      </c>
      <c r="C42">
        <v>1</v>
      </c>
      <c r="D42">
        <v>1</v>
      </c>
      <c r="E42" t="s">
        <v>37</v>
      </c>
      <c r="F42" t="s">
        <v>46</v>
      </c>
      <c r="G42">
        <v>1</v>
      </c>
      <c r="H42">
        <v>0.166666667</v>
      </c>
      <c r="I42" t="s">
        <v>39</v>
      </c>
      <c r="J42">
        <v>1</v>
      </c>
      <c r="K42">
        <v>0</v>
      </c>
      <c r="L42">
        <v>13</v>
      </c>
      <c r="M42">
        <v>7</v>
      </c>
      <c r="N42">
        <v>22</v>
      </c>
      <c r="O42">
        <v>12</v>
      </c>
      <c r="P42">
        <v>264</v>
      </c>
      <c r="T42">
        <v>1</v>
      </c>
      <c r="U42" t="s">
        <v>78</v>
      </c>
      <c r="V42">
        <v>0</v>
      </c>
      <c r="W42">
        <v>0</v>
      </c>
      <c r="X42">
        <v>3</v>
      </c>
      <c r="Y42">
        <v>1</v>
      </c>
      <c r="Z42">
        <v>42.59</v>
      </c>
      <c r="AA42">
        <v>3.59</v>
      </c>
      <c r="AB42">
        <v>17</v>
      </c>
      <c r="AC42">
        <v>33.4</v>
      </c>
      <c r="AD42">
        <v>5.8</v>
      </c>
      <c r="AE42">
        <v>17</v>
      </c>
      <c r="AF42">
        <v>34.08</v>
      </c>
      <c r="AG42">
        <v>4.97</v>
      </c>
      <c r="AH42">
        <v>13</v>
      </c>
      <c r="AI42">
        <v>32.3</v>
      </c>
      <c r="AJ42">
        <v>5.6</v>
      </c>
      <c r="AK42">
        <v>13</v>
      </c>
    </row>
    <row r="43" spans="1:37">
      <c r="A43">
        <v>12</v>
      </c>
      <c r="B43">
        <v>1</v>
      </c>
      <c r="C43">
        <v>3</v>
      </c>
      <c r="E43" t="s">
        <v>51</v>
      </c>
      <c r="F43" t="s">
        <v>46</v>
      </c>
      <c r="G43">
        <v>1</v>
      </c>
      <c r="H43">
        <v>0.5</v>
      </c>
      <c r="J43">
        <v>4</v>
      </c>
      <c r="K43">
        <v>0</v>
      </c>
      <c r="L43">
        <v>11.6</v>
      </c>
      <c r="M43">
        <v>5</v>
      </c>
      <c r="N43">
        <v>10</v>
      </c>
      <c r="O43">
        <v>25</v>
      </c>
      <c r="P43">
        <v>250</v>
      </c>
      <c r="T43">
        <v>1</v>
      </c>
      <c r="U43" t="s">
        <v>79</v>
      </c>
      <c r="V43">
        <v>0</v>
      </c>
      <c r="W43">
        <v>1</v>
      </c>
      <c r="X43">
        <v>2</v>
      </c>
      <c r="Y43">
        <v>0</v>
      </c>
    </row>
    <row r="44" spans="1:37">
      <c r="A44">
        <v>12</v>
      </c>
      <c r="B44">
        <v>1</v>
      </c>
      <c r="C44">
        <v>3</v>
      </c>
      <c r="E44" t="s">
        <v>51</v>
      </c>
      <c r="F44" t="s">
        <v>46</v>
      </c>
      <c r="G44">
        <v>1</v>
      </c>
      <c r="H44">
        <v>0.5</v>
      </c>
      <c r="J44">
        <v>4</v>
      </c>
      <c r="K44">
        <v>0</v>
      </c>
      <c r="L44">
        <v>11.6</v>
      </c>
      <c r="M44">
        <v>5</v>
      </c>
      <c r="N44">
        <v>10</v>
      </c>
      <c r="O44">
        <v>25</v>
      </c>
      <c r="P44">
        <v>250</v>
      </c>
      <c r="T44">
        <v>1</v>
      </c>
      <c r="U44" t="s">
        <v>80</v>
      </c>
      <c r="V44">
        <v>1</v>
      </c>
      <c r="W44">
        <v>0</v>
      </c>
      <c r="X44">
        <v>2</v>
      </c>
      <c r="Y44">
        <v>0</v>
      </c>
    </row>
    <row r="45" spans="1:37">
      <c r="A45">
        <v>13</v>
      </c>
      <c r="B45">
        <v>0</v>
      </c>
      <c r="C45">
        <v>3</v>
      </c>
      <c r="E45" t="s">
        <v>37</v>
      </c>
      <c r="F45" t="s">
        <v>81</v>
      </c>
      <c r="G45">
        <v>1</v>
      </c>
      <c r="H45">
        <v>1</v>
      </c>
      <c r="J45">
        <v>4</v>
      </c>
      <c r="K45">
        <v>0</v>
      </c>
      <c r="L45">
        <v>14.67</v>
      </c>
      <c r="M45">
        <v>9</v>
      </c>
      <c r="N45">
        <v>7</v>
      </c>
      <c r="O45">
        <v>27</v>
      </c>
      <c r="P45">
        <v>189</v>
      </c>
      <c r="T45">
        <v>1</v>
      </c>
      <c r="U45" t="s">
        <v>82</v>
      </c>
      <c r="V45">
        <v>1</v>
      </c>
      <c r="W45">
        <v>0</v>
      </c>
      <c r="X45">
        <v>2</v>
      </c>
      <c r="Y45">
        <v>0</v>
      </c>
    </row>
    <row r="46" spans="1:37">
      <c r="A46">
        <v>13</v>
      </c>
      <c r="B46">
        <v>0</v>
      </c>
      <c r="C46">
        <v>3</v>
      </c>
      <c r="E46" t="s">
        <v>37</v>
      </c>
      <c r="F46" t="s">
        <v>81</v>
      </c>
      <c r="G46">
        <v>1</v>
      </c>
      <c r="H46">
        <v>1</v>
      </c>
      <c r="J46">
        <v>4</v>
      </c>
      <c r="K46">
        <v>0</v>
      </c>
      <c r="L46">
        <v>14.67</v>
      </c>
      <c r="M46">
        <v>9</v>
      </c>
      <c r="N46">
        <v>7</v>
      </c>
      <c r="O46">
        <v>27</v>
      </c>
      <c r="P46">
        <v>189</v>
      </c>
      <c r="T46">
        <v>1</v>
      </c>
      <c r="U46" t="s">
        <v>83</v>
      </c>
      <c r="V46">
        <v>1</v>
      </c>
      <c r="W46">
        <v>1</v>
      </c>
      <c r="X46">
        <v>2</v>
      </c>
      <c r="Y46">
        <v>0</v>
      </c>
    </row>
    <row r="47" spans="1:37">
      <c r="A47">
        <v>14</v>
      </c>
      <c r="B47">
        <v>0</v>
      </c>
      <c r="C47">
        <v>3</v>
      </c>
      <c r="E47" t="s">
        <v>37</v>
      </c>
      <c r="F47" t="s">
        <v>46</v>
      </c>
      <c r="G47">
        <v>1</v>
      </c>
      <c r="H47">
        <v>0.2</v>
      </c>
      <c r="J47">
        <v>4</v>
      </c>
      <c r="K47">
        <v>0</v>
      </c>
      <c r="L47">
        <v>18.4</v>
      </c>
      <c r="M47">
        <v>13</v>
      </c>
      <c r="N47">
        <v>10.2</v>
      </c>
      <c r="O47">
        <v>15</v>
      </c>
      <c r="P47">
        <f>10.2*15</f>
        <v>153</v>
      </c>
      <c r="T47">
        <v>1</v>
      </c>
      <c r="U47" t="s">
        <v>84</v>
      </c>
      <c r="V47">
        <v>1</v>
      </c>
      <c r="W47">
        <v>1</v>
      </c>
      <c r="X47">
        <v>2</v>
      </c>
      <c r="Y47">
        <v>0</v>
      </c>
    </row>
    <row r="48" spans="1:37">
      <c r="A48">
        <v>14</v>
      </c>
      <c r="B48">
        <v>0</v>
      </c>
      <c r="C48">
        <v>3</v>
      </c>
      <c r="E48" t="s">
        <v>37</v>
      </c>
      <c r="F48" t="s">
        <v>46</v>
      </c>
      <c r="G48">
        <v>1</v>
      </c>
      <c r="H48">
        <v>0.2</v>
      </c>
      <c r="J48">
        <v>4</v>
      </c>
      <c r="K48">
        <v>0</v>
      </c>
      <c r="L48">
        <v>18.4</v>
      </c>
      <c r="M48">
        <v>13</v>
      </c>
      <c r="N48">
        <v>10.2</v>
      </c>
      <c r="O48">
        <v>15</v>
      </c>
      <c r="P48">
        <f>10.2*15</f>
        <v>153</v>
      </c>
      <c r="T48">
        <v>1</v>
      </c>
      <c r="U48" t="s">
        <v>85</v>
      </c>
      <c r="V48">
        <v>1</v>
      </c>
      <c r="W48">
        <v>0</v>
      </c>
      <c r="X48">
        <v>2</v>
      </c>
      <c r="Y48">
        <v>0</v>
      </c>
    </row>
    <row r="49" spans="1:37">
      <c r="A49">
        <v>15</v>
      </c>
      <c r="B49">
        <v>1</v>
      </c>
      <c r="C49">
        <v>3</v>
      </c>
      <c r="E49" t="s">
        <v>37</v>
      </c>
      <c r="F49" t="s">
        <v>86</v>
      </c>
      <c r="G49">
        <v>1</v>
      </c>
      <c r="H49">
        <v>0.25</v>
      </c>
      <c r="J49">
        <v>4</v>
      </c>
      <c r="K49">
        <v>0</v>
      </c>
      <c r="L49">
        <v>13.33</v>
      </c>
      <c r="M49">
        <v>7</v>
      </c>
      <c r="N49">
        <v>15</v>
      </c>
      <c r="O49">
        <v>11.67</v>
      </c>
      <c r="P49">
        <v>175.05</v>
      </c>
      <c r="T49">
        <v>1</v>
      </c>
      <c r="U49" t="s">
        <v>87</v>
      </c>
      <c r="V49">
        <v>1</v>
      </c>
      <c r="W49">
        <v>0</v>
      </c>
      <c r="X49">
        <v>3</v>
      </c>
      <c r="Y49">
        <v>1</v>
      </c>
    </row>
    <row r="50" spans="1:37">
      <c r="A50">
        <v>16</v>
      </c>
      <c r="B50">
        <v>1</v>
      </c>
      <c r="C50">
        <v>1</v>
      </c>
      <c r="D50">
        <v>1</v>
      </c>
      <c r="E50" t="s">
        <v>88</v>
      </c>
      <c r="F50" t="s">
        <v>89</v>
      </c>
      <c r="G50">
        <v>0</v>
      </c>
      <c r="J50">
        <v>3</v>
      </c>
      <c r="K50">
        <v>0</v>
      </c>
      <c r="L50">
        <v>4.5</v>
      </c>
      <c r="M50" t="s">
        <v>90</v>
      </c>
      <c r="N50">
        <v>6.4</v>
      </c>
      <c r="O50">
        <v>23</v>
      </c>
      <c r="P50">
        <f>6.4*23</f>
        <v>147.2</v>
      </c>
      <c r="T50">
        <v>1</v>
      </c>
      <c r="U50" t="s">
        <v>91</v>
      </c>
      <c r="V50">
        <v>1</v>
      </c>
      <c r="W50">
        <v>0</v>
      </c>
      <c r="X50">
        <v>1</v>
      </c>
      <c r="Y50">
        <v>1</v>
      </c>
      <c r="Z50">
        <v>9.39</v>
      </c>
      <c r="AA50">
        <v>2.136</v>
      </c>
      <c r="AB50">
        <v>79</v>
      </c>
      <c r="AC50">
        <v>8.084</v>
      </c>
      <c r="AD50">
        <v>2.553</v>
      </c>
      <c r="AE50">
        <v>79</v>
      </c>
      <c r="AF50">
        <v>8.133</v>
      </c>
      <c r="AG50">
        <v>2.696</v>
      </c>
      <c r="AH50">
        <v>75</v>
      </c>
      <c r="AI50">
        <v>7.813</v>
      </c>
      <c r="AJ50">
        <v>2.544</v>
      </c>
      <c r="AK50">
        <v>75</v>
      </c>
    </row>
    <row r="51" spans="1:37">
      <c r="A51">
        <v>16</v>
      </c>
      <c r="B51">
        <v>1</v>
      </c>
      <c r="C51">
        <v>1</v>
      </c>
      <c r="D51">
        <v>1</v>
      </c>
      <c r="E51" t="s">
        <v>88</v>
      </c>
      <c r="F51" t="s">
        <v>89</v>
      </c>
      <c r="G51">
        <v>0</v>
      </c>
      <c r="J51">
        <v>3</v>
      </c>
      <c r="K51">
        <v>0</v>
      </c>
      <c r="L51">
        <v>4.5</v>
      </c>
      <c r="M51" t="s">
        <v>90</v>
      </c>
      <c r="N51">
        <v>6.4</v>
      </c>
      <c r="O51">
        <v>23</v>
      </c>
      <c r="P51">
        <f>6.4*23</f>
        <v>147.2</v>
      </c>
      <c r="T51">
        <v>1</v>
      </c>
      <c r="U51" t="s">
        <v>92</v>
      </c>
      <c r="V51">
        <v>0</v>
      </c>
      <c r="W51">
        <v>1</v>
      </c>
      <c r="X51">
        <v>1</v>
      </c>
      <c r="Y51">
        <v>1</v>
      </c>
      <c r="Z51">
        <v>4.263</v>
      </c>
      <c r="AA51">
        <v>2.478</v>
      </c>
      <c r="AB51">
        <v>79</v>
      </c>
      <c r="AC51">
        <v>3.55</v>
      </c>
      <c r="AD51">
        <v>2.35</v>
      </c>
      <c r="AE51">
        <v>79</v>
      </c>
      <c r="AF51">
        <v>3.933</v>
      </c>
      <c r="AG51">
        <v>2.598</v>
      </c>
      <c r="AH51">
        <v>75</v>
      </c>
      <c r="AI51">
        <v>3.627</v>
      </c>
      <c r="AJ51">
        <v>2.392</v>
      </c>
      <c r="AK51">
        <v>75</v>
      </c>
    </row>
    <row r="52" spans="1:37">
      <c r="A52">
        <v>16</v>
      </c>
      <c r="B52">
        <v>1</v>
      </c>
      <c r="C52">
        <v>1</v>
      </c>
      <c r="D52">
        <v>1</v>
      </c>
      <c r="E52" t="s">
        <v>88</v>
      </c>
      <c r="F52" t="s">
        <v>89</v>
      </c>
      <c r="G52">
        <v>0</v>
      </c>
      <c r="J52">
        <v>3</v>
      </c>
      <c r="K52">
        <v>0</v>
      </c>
      <c r="L52">
        <v>4.5</v>
      </c>
      <c r="M52" t="s">
        <v>90</v>
      </c>
      <c r="N52">
        <v>9</v>
      </c>
      <c r="O52">
        <v>23</v>
      </c>
      <c r="P52">
        <v>207</v>
      </c>
      <c r="T52">
        <v>1</v>
      </c>
      <c r="U52" t="s">
        <v>93</v>
      </c>
      <c r="V52">
        <v>0</v>
      </c>
      <c r="W52">
        <v>1</v>
      </c>
      <c r="X52">
        <v>1</v>
      </c>
      <c r="Y52">
        <v>1</v>
      </c>
      <c r="Z52">
        <v>8.219</v>
      </c>
      <c r="AA52">
        <v>5.736</v>
      </c>
      <c r="AB52">
        <v>79</v>
      </c>
      <c r="AC52">
        <v>7.708</v>
      </c>
      <c r="AD52">
        <v>5.26</v>
      </c>
      <c r="AE52">
        <v>79</v>
      </c>
      <c r="AF52">
        <v>7.733</v>
      </c>
      <c r="AG52">
        <v>4.966</v>
      </c>
      <c r="AH52">
        <v>75</v>
      </c>
      <c r="AI52">
        <v>7</v>
      </c>
      <c r="AJ52">
        <v>5.018</v>
      </c>
      <c r="AK52">
        <v>75</v>
      </c>
    </row>
    <row r="53" spans="1:37">
      <c r="A53">
        <v>16</v>
      </c>
      <c r="B53">
        <v>1</v>
      </c>
      <c r="C53">
        <v>1</v>
      </c>
      <c r="D53">
        <v>1</v>
      </c>
      <c r="E53" t="s">
        <v>88</v>
      </c>
      <c r="F53" t="s">
        <v>89</v>
      </c>
      <c r="G53">
        <v>0</v>
      </c>
      <c r="J53">
        <v>3</v>
      </c>
      <c r="K53">
        <v>0</v>
      </c>
      <c r="L53">
        <v>4.5</v>
      </c>
      <c r="M53" t="s">
        <v>90</v>
      </c>
      <c r="N53">
        <v>9</v>
      </c>
      <c r="O53">
        <v>23</v>
      </c>
      <c r="P53">
        <v>207</v>
      </c>
      <c r="T53">
        <v>1</v>
      </c>
      <c r="U53" t="s">
        <v>94</v>
      </c>
      <c r="V53">
        <v>0</v>
      </c>
      <c r="W53">
        <v>1</v>
      </c>
      <c r="X53">
        <v>1</v>
      </c>
      <c r="Y53">
        <v>1</v>
      </c>
      <c r="Z53">
        <v>2.637</v>
      </c>
      <c r="AA53">
        <v>2.28</v>
      </c>
      <c r="AB53">
        <v>79</v>
      </c>
      <c r="AC53">
        <v>2.209</v>
      </c>
      <c r="AD53">
        <v>2.036</v>
      </c>
      <c r="AE53">
        <v>79</v>
      </c>
      <c r="AF53">
        <v>2.427</v>
      </c>
      <c r="AG53">
        <v>2.038</v>
      </c>
      <c r="AH53">
        <v>75</v>
      </c>
      <c r="AI53">
        <v>2.24</v>
      </c>
      <c r="AJ53">
        <v>2.098</v>
      </c>
      <c r="AK53">
        <v>75</v>
      </c>
    </row>
    <row r="54" spans="1:37">
      <c r="A54">
        <v>17</v>
      </c>
      <c r="B54">
        <v>1</v>
      </c>
      <c r="C54">
        <v>1</v>
      </c>
      <c r="E54" t="s">
        <v>37</v>
      </c>
      <c r="F54" t="s">
        <v>89</v>
      </c>
      <c r="G54">
        <v>0</v>
      </c>
      <c r="H54">
        <v>0.416666667</v>
      </c>
      <c r="J54">
        <v>1</v>
      </c>
      <c r="K54">
        <v>0</v>
      </c>
      <c r="L54">
        <v>4.67</v>
      </c>
      <c r="M54" t="s">
        <v>90</v>
      </c>
      <c r="N54">
        <v>14.5</v>
      </c>
      <c r="O54">
        <v>17.5</v>
      </c>
      <c r="P54">
        <v>253.75</v>
      </c>
      <c r="T54">
        <v>1</v>
      </c>
      <c r="U54" t="s">
        <v>95</v>
      </c>
      <c r="V54">
        <v>1</v>
      </c>
      <c r="W54">
        <v>0</v>
      </c>
      <c r="X54">
        <v>1</v>
      </c>
      <c r="Y54">
        <v>1</v>
      </c>
    </row>
    <row r="55" spans="1:37">
      <c r="A55">
        <v>17</v>
      </c>
      <c r="B55">
        <v>1</v>
      </c>
      <c r="C55">
        <v>1</v>
      </c>
      <c r="E55" t="s">
        <v>37</v>
      </c>
      <c r="F55" t="s">
        <v>89</v>
      </c>
      <c r="G55">
        <v>0</v>
      </c>
      <c r="H55">
        <v>0.416666667</v>
      </c>
      <c r="J55">
        <v>1</v>
      </c>
      <c r="K55">
        <v>0</v>
      </c>
      <c r="L55">
        <v>4.67</v>
      </c>
      <c r="M55" t="s">
        <v>90</v>
      </c>
      <c r="N55">
        <v>14.5</v>
      </c>
      <c r="O55">
        <v>17.5</v>
      </c>
      <c r="P55">
        <v>253.75</v>
      </c>
      <c r="T55">
        <v>1</v>
      </c>
      <c r="U55" t="s">
        <v>96</v>
      </c>
      <c r="V55">
        <v>0</v>
      </c>
      <c r="W55">
        <v>1</v>
      </c>
      <c r="X55">
        <v>1</v>
      </c>
      <c r="Y55">
        <v>1</v>
      </c>
    </row>
    <row r="56" spans="1:37">
      <c r="A56">
        <v>18</v>
      </c>
      <c r="B56">
        <v>1</v>
      </c>
      <c r="C56">
        <v>1</v>
      </c>
      <c r="D56">
        <v>1</v>
      </c>
      <c r="E56" t="s">
        <v>37</v>
      </c>
      <c r="F56" t="s">
        <v>89</v>
      </c>
      <c r="G56">
        <v>0</v>
      </c>
      <c r="H56">
        <v>1</v>
      </c>
      <c r="J56">
        <v>3</v>
      </c>
      <c r="K56">
        <v>0</v>
      </c>
      <c r="L56">
        <v>4.14</v>
      </c>
      <c r="M56" t="s">
        <v>90</v>
      </c>
      <c r="N56">
        <v>10.67</v>
      </c>
      <c r="T56">
        <v>1</v>
      </c>
      <c r="U56" t="s">
        <v>97</v>
      </c>
      <c r="V56">
        <v>0</v>
      </c>
      <c r="W56">
        <v>0</v>
      </c>
      <c r="X56">
        <v>1</v>
      </c>
      <c r="Y56">
        <v>1</v>
      </c>
      <c r="Z56">
        <v>13.09</v>
      </c>
      <c r="AA56">
        <v>2.63</v>
      </c>
      <c r="AB56">
        <v>35</v>
      </c>
      <c r="AC56">
        <v>11.7</v>
      </c>
      <c r="AD56">
        <v>3.32</v>
      </c>
      <c r="AE56">
        <v>40</v>
      </c>
      <c r="AF56">
        <v>10.66</v>
      </c>
      <c r="AG56">
        <v>4.28</v>
      </c>
      <c r="AH56">
        <v>41</v>
      </c>
      <c r="AI56">
        <v>10.5</v>
      </c>
      <c r="AJ56">
        <v>3.79</v>
      </c>
      <c r="AK56">
        <v>44</v>
      </c>
    </row>
    <row r="57" spans="1:37">
      <c r="A57">
        <v>18</v>
      </c>
      <c r="B57">
        <v>1</v>
      </c>
      <c r="C57">
        <v>1</v>
      </c>
      <c r="D57">
        <v>1</v>
      </c>
      <c r="E57" t="s">
        <v>37</v>
      </c>
      <c r="F57" t="s">
        <v>89</v>
      </c>
      <c r="G57">
        <v>0</v>
      </c>
      <c r="H57">
        <v>1</v>
      </c>
      <c r="J57">
        <v>3</v>
      </c>
      <c r="K57">
        <v>0</v>
      </c>
      <c r="L57">
        <v>4.14</v>
      </c>
      <c r="M57" t="s">
        <v>90</v>
      </c>
      <c r="N57">
        <v>10.67</v>
      </c>
      <c r="T57">
        <v>1</v>
      </c>
      <c r="U57" t="s">
        <v>98</v>
      </c>
      <c r="V57">
        <v>0</v>
      </c>
      <c r="W57">
        <v>1</v>
      </c>
      <c r="X57">
        <v>1</v>
      </c>
      <c r="Y57">
        <v>1</v>
      </c>
      <c r="Z57">
        <v>12.74</v>
      </c>
      <c r="AA57">
        <v>6.11</v>
      </c>
      <c r="AB57">
        <v>35</v>
      </c>
      <c r="AC57">
        <v>10.58</v>
      </c>
      <c r="AD57">
        <v>6.48</v>
      </c>
      <c r="AE57">
        <v>40</v>
      </c>
      <c r="AF57">
        <v>9.51</v>
      </c>
      <c r="AG57">
        <v>5.88</v>
      </c>
      <c r="AH57">
        <v>41</v>
      </c>
      <c r="AI57">
        <v>8.36</v>
      </c>
      <c r="AJ57">
        <v>5.57</v>
      </c>
      <c r="AK57">
        <v>44</v>
      </c>
    </row>
    <row r="58" spans="1:37">
      <c r="A58">
        <v>19</v>
      </c>
      <c r="B58">
        <v>1</v>
      </c>
      <c r="C58">
        <v>1</v>
      </c>
      <c r="D58">
        <v>1</v>
      </c>
      <c r="E58" t="s">
        <v>37</v>
      </c>
      <c r="F58" t="s">
        <v>89</v>
      </c>
      <c r="G58">
        <v>1</v>
      </c>
      <c r="H58">
        <v>0.25</v>
      </c>
      <c r="J58">
        <v>1</v>
      </c>
      <c r="K58">
        <v>0</v>
      </c>
      <c r="L58">
        <v>5.42</v>
      </c>
      <c r="M58" t="s">
        <v>90</v>
      </c>
      <c r="N58">
        <v>24</v>
      </c>
      <c r="O58">
        <v>30</v>
      </c>
      <c r="P58">
        <v>720</v>
      </c>
      <c r="T58">
        <v>1</v>
      </c>
      <c r="U58" t="s">
        <v>99</v>
      </c>
      <c r="V58">
        <v>0</v>
      </c>
      <c r="W58">
        <v>1</v>
      </c>
      <c r="X58">
        <v>1</v>
      </c>
      <c r="Y58">
        <v>1</v>
      </c>
      <c r="Z58">
        <v>6.45</v>
      </c>
      <c r="AA58">
        <v>1.74</v>
      </c>
      <c r="AB58">
        <v>42</v>
      </c>
      <c r="AC58">
        <v>3.9</v>
      </c>
      <c r="AD58">
        <v>1.59</v>
      </c>
      <c r="AE58">
        <v>42</v>
      </c>
      <c r="AF58">
        <v>6.45</v>
      </c>
      <c r="AG58">
        <v>1.67</v>
      </c>
      <c r="AH58">
        <v>40</v>
      </c>
      <c r="AI58">
        <v>4.35</v>
      </c>
      <c r="AJ58">
        <v>1.12</v>
      </c>
      <c r="AK58">
        <v>40</v>
      </c>
    </row>
    <row r="59" spans="1:37">
      <c r="A59">
        <v>19</v>
      </c>
      <c r="B59">
        <v>1</v>
      </c>
      <c r="C59">
        <v>1</v>
      </c>
      <c r="D59">
        <v>1</v>
      </c>
      <c r="E59" t="s">
        <v>37</v>
      </c>
      <c r="F59" t="s">
        <v>89</v>
      </c>
      <c r="G59">
        <v>1</v>
      </c>
      <c r="H59">
        <v>0.25</v>
      </c>
      <c r="J59">
        <v>1</v>
      </c>
      <c r="K59">
        <v>0</v>
      </c>
      <c r="L59">
        <v>5.42</v>
      </c>
      <c r="M59" t="s">
        <v>90</v>
      </c>
      <c r="N59">
        <v>24</v>
      </c>
      <c r="O59">
        <v>30</v>
      </c>
      <c r="P59">
        <v>720</v>
      </c>
      <c r="T59">
        <v>1</v>
      </c>
      <c r="U59" t="s">
        <v>100</v>
      </c>
      <c r="V59">
        <v>0</v>
      </c>
      <c r="W59">
        <v>1</v>
      </c>
      <c r="X59">
        <v>1</v>
      </c>
      <c r="Y59">
        <v>1</v>
      </c>
      <c r="Z59">
        <v>4.98</v>
      </c>
      <c r="AA59">
        <v>2.07</v>
      </c>
      <c r="AB59">
        <v>42</v>
      </c>
      <c r="AC59">
        <v>1.55</v>
      </c>
      <c r="AD59">
        <v>1.09</v>
      </c>
      <c r="AE59">
        <v>42</v>
      </c>
      <c r="AF59">
        <v>5.2</v>
      </c>
      <c r="AG59">
        <v>2.07</v>
      </c>
      <c r="AH59">
        <v>40</v>
      </c>
      <c r="AI59">
        <v>2.17</v>
      </c>
      <c r="AJ59">
        <v>1.44</v>
      </c>
      <c r="AK59">
        <v>40</v>
      </c>
    </row>
    <row r="60" spans="1:37">
      <c r="A60">
        <v>19</v>
      </c>
      <c r="B60">
        <v>1</v>
      </c>
      <c r="C60">
        <v>1</v>
      </c>
      <c r="D60">
        <v>1</v>
      </c>
      <c r="E60" t="s">
        <v>37</v>
      </c>
      <c r="F60" t="s">
        <v>89</v>
      </c>
      <c r="G60">
        <v>1</v>
      </c>
      <c r="H60">
        <v>0.25</v>
      </c>
      <c r="J60">
        <v>1</v>
      </c>
      <c r="K60">
        <v>0</v>
      </c>
      <c r="L60">
        <v>5.42</v>
      </c>
      <c r="M60" t="s">
        <v>90</v>
      </c>
      <c r="N60">
        <v>24</v>
      </c>
      <c r="O60">
        <v>30</v>
      </c>
      <c r="P60">
        <v>720</v>
      </c>
      <c r="T60">
        <v>1</v>
      </c>
      <c r="U60" t="s">
        <v>101</v>
      </c>
      <c r="V60">
        <v>0</v>
      </c>
      <c r="W60">
        <v>1</v>
      </c>
      <c r="X60">
        <v>1</v>
      </c>
      <c r="Y60">
        <v>1</v>
      </c>
      <c r="Z60">
        <v>6.45</v>
      </c>
      <c r="AA60">
        <v>1.99</v>
      </c>
      <c r="AB60">
        <v>42</v>
      </c>
      <c r="AC60">
        <v>3.43</v>
      </c>
      <c r="AD60">
        <v>1.47</v>
      </c>
      <c r="AE60">
        <v>42</v>
      </c>
      <c r="AF60">
        <v>5.95</v>
      </c>
      <c r="AG60">
        <v>1.71</v>
      </c>
      <c r="AH60">
        <v>40</v>
      </c>
      <c r="AI60">
        <v>4.07</v>
      </c>
      <c r="AJ60">
        <v>1.46</v>
      </c>
      <c r="AK60">
        <v>40</v>
      </c>
    </row>
    <row r="61" spans="1:37">
      <c r="A61">
        <v>19</v>
      </c>
      <c r="B61">
        <v>1</v>
      </c>
      <c r="C61">
        <v>1</v>
      </c>
      <c r="D61">
        <v>1</v>
      </c>
      <c r="E61" t="s">
        <v>37</v>
      </c>
      <c r="F61" t="s">
        <v>89</v>
      </c>
      <c r="G61">
        <v>1</v>
      </c>
      <c r="H61">
        <v>0.25</v>
      </c>
      <c r="J61">
        <v>1</v>
      </c>
      <c r="K61">
        <v>0</v>
      </c>
      <c r="L61">
        <v>5.42</v>
      </c>
      <c r="M61" t="s">
        <v>90</v>
      </c>
      <c r="N61">
        <v>24</v>
      </c>
      <c r="O61">
        <v>30</v>
      </c>
      <c r="P61">
        <v>720</v>
      </c>
      <c r="T61">
        <v>1</v>
      </c>
      <c r="U61" t="s">
        <v>102</v>
      </c>
      <c r="V61">
        <v>0</v>
      </c>
      <c r="W61">
        <v>1</v>
      </c>
      <c r="X61">
        <v>1</v>
      </c>
      <c r="Y61">
        <v>1</v>
      </c>
      <c r="Z61">
        <v>3.02</v>
      </c>
      <c r="AA61">
        <v>0.97</v>
      </c>
      <c r="AB61">
        <v>42</v>
      </c>
      <c r="AC61">
        <v>2.69</v>
      </c>
      <c r="AD61">
        <v>1.12</v>
      </c>
      <c r="AE61">
        <v>42</v>
      </c>
      <c r="AF61">
        <v>3.2</v>
      </c>
      <c r="AG61">
        <v>1.04</v>
      </c>
      <c r="AH61">
        <v>40</v>
      </c>
      <c r="AI61">
        <v>2.78</v>
      </c>
      <c r="AJ61">
        <v>1.12</v>
      </c>
      <c r="AK61">
        <v>40</v>
      </c>
    </row>
    <row r="62" spans="1:37">
      <c r="A62">
        <v>19</v>
      </c>
      <c r="B62">
        <v>1</v>
      </c>
      <c r="C62">
        <v>1</v>
      </c>
      <c r="D62">
        <v>1</v>
      </c>
      <c r="E62" t="s">
        <v>37</v>
      </c>
      <c r="F62" t="s">
        <v>89</v>
      </c>
      <c r="G62">
        <v>1</v>
      </c>
      <c r="H62">
        <v>0.25</v>
      </c>
      <c r="J62">
        <v>1</v>
      </c>
      <c r="K62">
        <v>0</v>
      </c>
      <c r="L62">
        <v>5.42</v>
      </c>
      <c r="M62" t="s">
        <v>90</v>
      </c>
      <c r="N62">
        <v>24</v>
      </c>
      <c r="O62">
        <v>30</v>
      </c>
      <c r="P62">
        <v>720</v>
      </c>
      <c r="T62">
        <v>1</v>
      </c>
      <c r="U62" t="s">
        <v>103</v>
      </c>
      <c r="V62">
        <v>0</v>
      </c>
      <c r="W62">
        <v>1</v>
      </c>
      <c r="X62">
        <v>2</v>
      </c>
      <c r="Y62">
        <v>1</v>
      </c>
      <c r="Z62">
        <v>2.02</v>
      </c>
      <c r="AA62">
        <v>1.57</v>
      </c>
      <c r="AB62">
        <v>42</v>
      </c>
      <c r="AC62">
        <v>0.88</v>
      </c>
      <c r="AD62">
        <v>0.92</v>
      </c>
      <c r="AE62">
        <v>42</v>
      </c>
      <c r="AF62">
        <v>1.88</v>
      </c>
      <c r="AG62">
        <v>1.57</v>
      </c>
      <c r="AH62">
        <v>40</v>
      </c>
      <c r="AI62">
        <v>0.62</v>
      </c>
      <c r="AJ62">
        <v>0.87</v>
      </c>
      <c r="AK62">
        <v>40</v>
      </c>
    </row>
    <row r="63" spans="1:37">
      <c r="A63">
        <v>19</v>
      </c>
      <c r="B63">
        <v>1</v>
      </c>
      <c r="C63">
        <v>1</v>
      </c>
      <c r="D63">
        <v>1</v>
      </c>
      <c r="E63" t="s">
        <v>37</v>
      </c>
      <c r="F63" t="s">
        <v>89</v>
      </c>
      <c r="G63">
        <v>1</v>
      </c>
      <c r="H63">
        <v>0.25</v>
      </c>
      <c r="J63">
        <v>1</v>
      </c>
      <c r="K63">
        <v>0</v>
      </c>
      <c r="L63">
        <v>5.42</v>
      </c>
      <c r="M63" t="s">
        <v>90</v>
      </c>
      <c r="N63">
        <v>24</v>
      </c>
      <c r="O63">
        <v>30</v>
      </c>
      <c r="P63">
        <v>720</v>
      </c>
      <c r="T63">
        <v>1</v>
      </c>
      <c r="U63" t="s">
        <v>104</v>
      </c>
      <c r="V63">
        <v>0</v>
      </c>
      <c r="W63">
        <v>1</v>
      </c>
      <c r="X63">
        <v>1</v>
      </c>
      <c r="Y63">
        <v>1</v>
      </c>
      <c r="Z63">
        <v>3.52</v>
      </c>
      <c r="AA63">
        <v>2.93</v>
      </c>
      <c r="AB63">
        <v>42</v>
      </c>
      <c r="AC63">
        <v>0.69</v>
      </c>
      <c r="AD63">
        <v>1.14</v>
      </c>
      <c r="AE63">
        <v>42</v>
      </c>
      <c r="AF63">
        <v>3.75</v>
      </c>
      <c r="AG63">
        <v>2.87</v>
      </c>
      <c r="AH63">
        <v>40</v>
      </c>
      <c r="AI63">
        <v>0.75</v>
      </c>
      <c r="AJ63">
        <v>1.24</v>
      </c>
      <c r="AK63">
        <v>40</v>
      </c>
    </row>
    <row r="64" spans="1:37">
      <c r="A64">
        <v>19</v>
      </c>
      <c r="B64">
        <v>1</v>
      </c>
      <c r="C64">
        <v>1</v>
      </c>
      <c r="D64">
        <v>1</v>
      </c>
      <c r="E64" t="s">
        <v>37</v>
      </c>
      <c r="F64" t="s">
        <v>89</v>
      </c>
      <c r="G64">
        <v>1</v>
      </c>
      <c r="H64">
        <v>0.25</v>
      </c>
      <c r="J64">
        <v>1</v>
      </c>
      <c r="K64">
        <v>0</v>
      </c>
      <c r="L64">
        <v>5.42</v>
      </c>
      <c r="M64" t="s">
        <v>90</v>
      </c>
      <c r="N64">
        <v>24</v>
      </c>
      <c r="O64">
        <v>30</v>
      </c>
      <c r="P64">
        <v>720</v>
      </c>
      <c r="T64">
        <v>1</v>
      </c>
      <c r="U64" t="s">
        <v>105</v>
      </c>
      <c r="V64">
        <v>0</v>
      </c>
      <c r="W64">
        <v>0</v>
      </c>
      <c r="X64">
        <v>1</v>
      </c>
      <c r="Y64">
        <v>1</v>
      </c>
      <c r="Z64">
        <v>10.29</v>
      </c>
      <c r="AA64">
        <v>5.67</v>
      </c>
      <c r="AB64">
        <v>42</v>
      </c>
      <c r="AC64">
        <v>5.76</v>
      </c>
      <c r="AD64">
        <v>3.12</v>
      </c>
      <c r="AE64">
        <v>42</v>
      </c>
      <c r="AF64">
        <v>8.45</v>
      </c>
      <c r="AG64">
        <v>4.72</v>
      </c>
      <c r="AH64">
        <v>40</v>
      </c>
      <c r="AI64">
        <v>5.28</v>
      </c>
      <c r="AJ64">
        <v>3.78</v>
      </c>
      <c r="AK64">
        <v>40</v>
      </c>
    </row>
    <row r="65" spans="1:37">
      <c r="A65">
        <v>19</v>
      </c>
      <c r="B65">
        <v>1</v>
      </c>
      <c r="C65">
        <v>1</v>
      </c>
      <c r="D65">
        <v>1</v>
      </c>
      <c r="E65" t="s">
        <v>37</v>
      </c>
      <c r="F65" t="s">
        <v>89</v>
      </c>
      <c r="G65">
        <v>1</v>
      </c>
      <c r="H65">
        <v>0.25</v>
      </c>
      <c r="J65">
        <v>1</v>
      </c>
      <c r="K65">
        <v>0</v>
      </c>
      <c r="L65">
        <v>5.42</v>
      </c>
      <c r="M65" t="s">
        <v>90</v>
      </c>
      <c r="N65">
        <v>24</v>
      </c>
      <c r="O65">
        <v>30</v>
      </c>
      <c r="P65">
        <v>720</v>
      </c>
      <c r="T65">
        <v>1</v>
      </c>
      <c r="U65" t="s">
        <v>106</v>
      </c>
      <c r="V65">
        <v>0</v>
      </c>
      <c r="W65">
        <v>0</v>
      </c>
      <c r="X65">
        <v>2</v>
      </c>
      <c r="Y65">
        <v>1</v>
      </c>
      <c r="Z65">
        <v>3.14</v>
      </c>
      <c r="AA65">
        <v>1.52</v>
      </c>
      <c r="AB65">
        <v>42</v>
      </c>
      <c r="AC65">
        <v>1.83</v>
      </c>
      <c r="AD65">
        <v>1.1</v>
      </c>
      <c r="AE65">
        <v>42</v>
      </c>
      <c r="AF65">
        <v>2.63</v>
      </c>
      <c r="AG65">
        <v>1.35</v>
      </c>
      <c r="AH65">
        <v>40</v>
      </c>
      <c r="AI65">
        <v>1.8</v>
      </c>
      <c r="AJ65">
        <v>1.18</v>
      </c>
      <c r="AK65">
        <v>40</v>
      </c>
    </row>
    <row r="66" spans="1:37">
      <c r="A66">
        <v>19</v>
      </c>
      <c r="B66">
        <v>1</v>
      </c>
      <c r="C66">
        <v>1</v>
      </c>
      <c r="D66">
        <v>1</v>
      </c>
      <c r="E66" t="s">
        <v>37</v>
      </c>
      <c r="F66" t="s">
        <v>89</v>
      </c>
      <c r="G66">
        <v>1</v>
      </c>
      <c r="H66">
        <v>0.25</v>
      </c>
      <c r="J66">
        <v>1</v>
      </c>
      <c r="K66">
        <v>0</v>
      </c>
      <c r="L66">
        <v>5.42</v>
      </c>
      <c r="M66" t="s">
        <v>90</v>
      </c>
      <c r="N66">
        <v>24</v>
      </c>
      <c r="O66">
        <v>30</v>
      </c>
      <c r="P66">
        <v>720</v>
      </c>
      <c r="T66">
        <v>1</v>
      </c>
      <c r="U66" t="s">
        <v>107</v>
      </c>
      <c r="V66">
        <v>0</v>
      </c>
      <c r="W66">
        <v>0</v>
      </c>
      <c r="X66">
        <v>1</v>
      </c>
      <c r="Y66">
        <v>1</v>
      </c>
      <c r="Z66">
        <v>0.67</v>
      </c>
      <c r="AA66">
        <v>0.85</v>
      </c>
      <c r="AB66">
        <v>42</v>
      </c>
      <c r="AC66">
        <v>0.02</v>
      </c>
      <c r="AD66">
        <v>0.15</v>
      </c>
      <c r="AE66">
        <v>42</v>
      </c>
      <c r="AF66">
        <v>0.15</v>
      </c>
      <c r="AG66">
        <v>0.48</v>
      </c>
      <c r="AH66">
        <v>40</v>
      </c>
      <c r="AI66">
        <v>0.03</v>
      </c>
      <c r="AJ66">
        <v>0.16</v>
      </c>
      <c r="AK66">
        <v>40</v>
      </c>
    </row>
    <row r="67" spans="1:37">
      <c r="A67">
        <v>19</v>
      </c>
      <c r="B67">
        <v>1</v>
      </c>
      <c r="C67">
        <v>1</v>
      </c>
      <c r="D67">
        <v>1</v>
      </c>
      <c r="E67" t="s">
        <v>37</v>
      </c>
      <c r="F67" t="s">
        <v>89</v>
      </c>
      <c r="G67">
        <v>1</v>
      </c>
      <c r="H67">
        <v>0.25</v>
      </c>
      <c r="J67">
        <v>1</v>
      </c>
      <c r="K67">
        <v>0</v>
      </c>
      <c r="L67">
        <v>5.42</v>
      </c>
      <c r="M67" t="s">
        <v>90</v>
      </c>
      <c r="N67">
        <v>24</v>
      </c>
      <c r="O67">
        <v>30</v>
      </c>
      <c r="P67">
        <v>720</v>
      </c>
      <c r="T67">
        <v>1</v>
      </c>
      <c r="U67" t="s">
        <v>108</v>
      </c>
      <c r="V67">
        <v>0</v>
      </c>
      <c r="W67">
        <v>1</v>
      </c>
      <c r="X67">
        <v>2</v>
      </c>
      <c r="Y67">
        <v>1</v>
      </c>
      <c r="Z67">
        <v>11.31</v>
      </c>
      <c r="AA67">
        <v>2.72</v>
      </c>
      <c r="AB67">
        <v>42</v>
      </c>
      <c r="AC67">
        <v>8.31</v>
      </c>
      <c r="AD67">
        <v>2.91</v>
      </c>
      <c r="AE67">
        <v>42</v>
      </c>
      <c r="AF67">
        <v>11.1</v>
      </c>
      <c r="AG67">
        <v>2.23</v>
      </c>
      <c r="AH67">
        <v>40</v>
      </c>
      <c r="AI67">
        <v>8.72</v>
      </c>
      <c r="AJ67">
        <v>2.18</v>
      </c>
      <c r="AK67">
        <v>40</v>
      </c>
    </row>
    <row r="68" spans="1:37">
      <c r="A68">
        <v>19</v>
      </c>
      <c r="B68">
        <v>1</v>
      </c>
      <c r="C68">
        <v>1</v>
      </c>
      <c r="D68">
        <v>1</v>
      </c>
      <c r="E68" t="s">
        <v>37</v>
      </c>
      <c r="F68" t="s">
        <v>89</v>
      </c>
      <c r="G68">
        <v>1</v>
      </c>
      <c r="H68">
        <v>0.25</v>
      </c>
      <c r="J68">
        <v>1</v>
      </c>
      <c r="K68">
        <v>0</v>
      </c>
      <c r="L68">
        <v>5.42</v>
      </c>
      <c r="M68" t="s">
        <v>90</v>
      </c>
      <c r="N68">
        <v>24</v>
      </c>
      <c r="O68">
        <v>30</v>
      </c>
      <c r="P68">
        <v>720</v>
      </c>
      <c r="T68">
        <v>1</v>
      </c>
      <c r="U68" t="s">
        <v>109</v>
      </c>
      <c r="V68">
        <v>0</v>
      </c>
      <c r="W68">
        <v>1</v>
      </c>
      <c r="X68">
        <v>1</v>
      </c>
      <c r="Y68">
        <v>1</v>
      </c>
      <c r="Z68">
        <v>3.05</v>
      </c>
      <c r="AA68">
        <v>2.51</v>
      </c>
      <c r="AB68">
        <v>42</v>
      </c>
      <c r="AC68">
        <v>0.33</v>
      </c>
      <c r="AD68">
        <v>0.9</v>
      </c>
      <c r="AE68">
        <v>42</v>
      </c>
      <c r="AF68">
        <v>3.1</v>
      </c>
      <c r="AG68">
        <v>1.98</v>
      </c>
      <c r="AH68">
        <v>40</v>
      </c>
      <c r="AI68">
        <v>0.43</v>
      </c>
      <c r="AJ68">
        <v>0.71</v>
      </c>
      <c r="AK68">
        <v>40</v>
      </c>
    </row>
    <row r="69" spans="1:37">
      <c r="A69">
        <v>20</v>
      </c>
      <c r="B69">
        <v>1</v>
      </c>
      <c r="C69">
        <v>1</v>
      </c>
      <c r="D69">
        <v>1</v>
      </c>
      <c r="E69" t="s">
        <v>37</v>
      </c>
      <c r="F69" t="s">
        <v>89</v>
      </c>
      <c r="G69">
        <v>1</v>
      </c>
      <c r="H69">
        <v>0.25</v>
      </c>
      <c r="J69">
        <v>1</v>
      </c>
      <c r="K69">
        <v>0</v>
      </c>
      <c r="L69">
        <v>4.38</v>
      </c>
      <c r="M69" t="s">
        <v>90</v>
      </c>
      <c r="N69">
        <v>24</v>
      </c>
      <c r="O69">
        <v>30</v>
      </c>
      <c r="P69">
        <v>720</v>
      </c>
      <c r="T69">
        <v>1</v>
      </c>
      <c r="U69" t="s">
        <v>110</v>
      </c>
      <c r="V69">
        <v>0</v>
      </c>
      <c r="W69">
        <v>1</v>
      </c>
      <c r="X69">
        <v>1</v>
      </c>
      <c r="Y69">
        <v>1</v>
      </c>
      <c r="Z69">
        <v>7.07</v>
      </c>
      <c r="AA69">
        <v>2.11</v>
      </c>
      <c r="AB69">
        <v>42</v>
      </c>
      <c r="AC69">
        <v>5.83</v>
      </c>
      <c r="AD69">
        <v>2.48</v>
      </c>
      <c r="AE69">
        <v>42</v>
      </c>
      <c r="AF69">
        <v>7.5</v>
      </c>
      <c r="AG69">
        <v>1.92</v>
      </c>
      <c r="AH69">
        <v>44</v>
      </c>
      <c r="AI69">
        <v>5.86</v>
      </c>
      <c r="AJ69">
        <v>2.34</v>
      </c>
      <c r="AK69">
        <v>44</v>
      </c>
    </row>
    <row r="70" spans="1:37">
      <c r="A70">
        <v>20</v>
      </c>
      <c r="B70">
        <v>1</v>
      </c>
      <c r="C70">
        <v>1</v>
      </c>
      <c r="D70">
        <v>1</v>
      </c>
      <c r="E70" t="s">
        <v>37</v>
      </c>
      <c r="F70" t="s">
        <v>89</v>
      </c>
      <c r="G70">
        <v>1</v>
      </c>
      <c r="H70">
        <v>0.25</v>
      </c>
      <c r="J70">
        <v>1</v>
      </c>
      <c r="K70">
        <v>0</v>
      </c>
      <c r="L70">
        <v>4.38</v>
      </c>
      <c r="M70" t="s">
        <v>90</v>
      </c>
      <c r="N70">
        <v>24</v>
      </c>
      <c r="O70">
        <v>30</v>
      </c>
      <c r="P70">
        <v>720</v>
      </c>
      <c r="T70">
        <v>1</v>
      </c>
      <c r="U70" t="s">
        <v>111</v>
      </c>
      <c r="V70">
        <v>0</v>
      </c>
      <c r="W70">
        <v>1</v>
      </c>
      <c r="X70">
        <v>1</v>
      </c>
      <c r="Y70">
        <v>1</v>
      </c>
      <c r="Z70">
        <v>5.17</v>
      </c>
      <c r="AA70">
        <v>2.24</v>
      </c>
      <c r="AB70">
        <v>42</v>
      </c>
      <c r="AC70">
        <v>3.1</v>
      </c>
      <c r="AD70">
        <v>2.33</v>
      </c>
      <c r="AE70">
        <v>42</v>
      </c>
      <c r="AF70">
        <v>5.41</v>
      </c>
      <c r="AG70">
        <v>2.23</v>
      </c>
      <c r="AH70">
        <v>44</v>
      </c>
      <c r="AI70">
        <v>3.55</v>
      </c>
      <c r="AJ70">
        <v>2.55</v>
      </c>
      <c r="AK70">
        <v>44</v>
      </c>
    </row>
    <row r="71" spans="1:37">
      <c r="A71">
        <v>20</v>
      </c>
      <c r="B71">
        <v>1</v>
      </c>
      <c r="C71">
        <v>1</v>
      </c>
      <c r="D71">
        <v>1</v>
      </c>
      <c r="E71" t="s">
        <v>37</v>
      </c>
      <c r="F71" t="s">
        <v>89</v>
      </c>
      <c r="G71">
        <v>1</v>
      </c>
      <c r="H71">
        <v>0.25</v>
      </c>
      <c r="J71">
        <v>1</v>
      </c>
      <c r="K71">
        <v>0</v>
      </c>
      <c r="L71">
        <v>4.38</v>
      </c>
      <c r="M71" t="s">
        <v>90</v>
      </c>
      <c r="N71">
        <v>24</v>
      </c>
      <c r="O71">
        <v>30</v>
      </c>
      <c r="P71">
        <v>720</v>
      </c>
      <c r="T71">
        <v>1</v>
      </c>
      <c r="U71" t="s">
        <v>112</v>
      </c>
      <c r="V71">
        <v>0</v>
      </c>
      <c r="W71">
        <v>1</v>
      </c>
      <c r="X71">
        <v>1</v>
      </c>
      <c r="Y71">
        <v>1</v>
      </c>
      <c r="Z71">
        <v>5.48</v>
      </c>
      <c r="AA71">
        <v>1.99</v>
      </c>
      <c r="AB71">
        <v>42</v>
      </c>
      <c r="AC71">
        <v>4.24</v>
      </c>
      <c r="AD71">
        <v>2</v>
      </c>
      <c r="AE71">
        <v>42</v>
      </c>
      <c r="AF71">
        <v>5.34</v>
      </c>
      <c r="AG71">
        <v>2.01</v>
      </c>
      <c r="AH71">
        <v>44</v>
      </c>
      <c r="AI71">
        <v>4.75</v>
      </c>
      <c r="AJ71">
        <v>2.27</v>
      </c>
      <c r="AK71">
        <v>44</v>
      </c>
    </row>
    <row r="72" spans="1:37">
      <c r="A72">
        <v>20</v>
      </c>
      <c r="B72">
        <v>1</v>
      </c>
      <c r="C72">
        <v>1</v>
      </c>
      <c r="D72">
        <v>1</v>
      </c>
      <c r="E72" t="s">
        <v>37</v>
      </c>
      <c r="F72" t="s">
        <v>89</v>
      </c>
      <c r="G72">
        <v>1</v>
      </c>
      <c r="H72">
        <v>0.25</v>
      </c>
      <c r="J72">
        <v>1</v>
      </c>
      <c r="K72">
        <v>0</v>
      </c>
      <c r="L72">
        <v>4.38</v>
      </c>
      <c r="M72" t="s">
        <v>90</v>
      </c>
      <c r="N72">
        <v>24</v>
      </c>
      <c r="O72">
        <v>30</v>
      </c>
      <c r="P72">
        <v>720</v>
      </c>
      <c r="T72">
        <v>1</v>
      </c>
      <c r="U72" t="s">
        <v>113</v>
      </c>
      <c r="V72">
        <v>0</v>
      </c>
      <c r="W72">
        <v>1</v>
      </c>
      <c r="X72">
        <v>1</v>
      </c>
      <c r="Y72">
        <v>1</v>
      </c>
      <c r="Z72">
        <v>3.19</v>
      </c>
      <c r="AA72">
        <v>1.04</v>
      </c>
      <c r="AB72">
        <v>42</v>
      </c>
      <c r="AC72">
        <v>2.57</v>
      </c>
      <c r="AD72">
        <v>1.27</v>
      </c>
      <c r="AE72">
        <v>42</v>
      </c>
      <c r="AF72">
        <v>3.11</v>
      </c>
      <c r="AG72">
        <v>0.84</v>
      </c>
      <c r="AH72">
        <v>44</v>
      </c>
      <c r="AI72">
        <v>2.8</v>
      </c>
      <c r="AJ72">
        <v>1.32</v>
      </c>
      <c r="AK72">
        <v>44</v>
      </c>
    </row>
    <row r="73" spans="1:37">
      <c r="A73">
        <v>20</v>
      </c>
      <c r="B73">
        <v>1</v>
      </c>
      <c r="C73">
        <v>1</v>
      </c>
      <c r="D73">
        <v>1</v>
      </c>
      <c r="E73" t="s">
        <v>37</v>
      </c>
      <c r="F73" t="s">
        <v>89</v>
      </c>
      <c r="G73">
        <v>1</v>
      </c>
      <c r="H73">
        <v>0.25</v>
      </c>
      <c r="J73">
        <v>1</v>
      </c>
      <c r="K73">
        <v>0</v>
      </c>
      <c r="L73">
        <v>4.38</v>
      </c>
      <c r="M73" t="s">
        <v>90</v>
      </c>
      <c r="N73">
        <v>24</v>
      </c>
      <c r="O73">
        <v>30</v>
      </c>
      <c r="P73">
        <v>720</v>
      </c>
      <c r="T73">
        <v>1</v>
      </c>
      <c r="U73" t="s">
        <v>114</v>
      </c>
      <c r="V73">
        <v>0</v>
      </c>
      <c r="W73">
        <v>1</v>
      </c>
      <c r="X73">
        <v>2</v>
      </c>
      <c r="Y73">
        <v>1</v>
      </c>
      <c r="Z73">
        <v>1.64</v>
      </c>
      <c r="AA73">
        <v>1.62</v>
      </c>
      <c r="AB73">
        <v>42</v>
      </c>
      <c r="AC73">
        <v>0.79</v>
      </c>
      <c r="AD73">
        <v>1.12</v>
      </c>
      <c r="AE73">
        <v>42</v>
      </c>
      <c r="AF73">
        <v>1.64</v>
      </c>
      <c r="AG73">
        <v>1.64</v>
      </c>
      <c r="AH73">
        <v>44</v>
      </c>
      <c r="AI73">
        <v>1.05</v>
      </c>
      <c r="AJ73">
        <v>1.14</v>
      </c>
      <c r="AK73">
        <v>44</v>
      </c>
    </row>
    <row r="74" spans="1:37">
      <c r="A74">
        <v>20</v>
      </c>
      <c r="B74">
        <v>1</v>
      </c>
      <c r="C74">
        <v>1</v>
      </c>
      <c r="D74">
        <v>1</v>
      </c>
      <c r="E74" t="s">
        <v>37</v>
      </c>
      <c r="F74" t="s">
        <v>89</v>
      </c>
      <c r="G74">
        <v>1</v>
      </c>
      <c r="H74">
        <v>0.25</v>
      </c>
      <c r="J74">
        <v>1</v>
      </c>
      <c r="K74">
        <v>0</v>
      </c>
      <c r="L74">
        <v>4.38</v>
      </c>
      <c r="M74" t="s">
        <v>90</v>
      </c>
      <c r="N74">
        <v>24</v>
      </c>
      <c r="O74">
        <v>30</v>
      </c>
      <c r="P74">
        <v>720</v>
      </c>
      <c r="T74">
        <v>1</v>
      </c>
      <c r="U74" t="s">
        <v>115</v>
      </c>
      <c r="V74">
        <v>0</v>
      </c>
      <c r="W74">
        <v>1</v>
      </c>
      <c r="X74">
        <v>1</v>
      </c>
      <c r="Y74">
        <v>1</v>
      </c>
      <c r="Z74">
        <v>2.55</v>
      </c>
      <c r="AA74">
        <v>2.9</v>
      </c>
      <c r="AB74">
        <v>42</v>
      </c>
      <c r="AC74">
        <v>1.12</v>
      </c>
      <c r="AD74">
        <v>1.81</v>
      </c>
      <c r="AE74">
        <v>42</v>
      </c>
      <c r="AF74">
        <v>2.95</v>
      </c>
      <c r="AG74">
        <v>2.93</v>
      </c>
      <c r="AH74">
        <v>44</v>
      </c>
      <c r="AI74">
        <v>1.64</v>
      </c>
      <c r="AJ74">
        <v>2.2</v>
      </c>
      <c r="AK74">
        <v>44</v>
      </c>
    </row>
    <row r="75" spans="1:37">
      <c r="A75">
        <v>20</v>
      </c>
      <c r="B75">
        <v>1</v>
      </c>
      <c r="C75">
        <v>1</v>
      </c>
      <c r="D75">
        <v>1</v>
      </c>
      <c r="E75" t="s">
        <v>37</v>
      </c>
      <c r="F75" t="s">
        <v>89</v>
      </c>
      <c r="G75">
        <v>1</v>
      </c>
      <c r="H75">
        <v>0.25</v>
      </c>
      <c r="J75">
        <v>1</v>
      </c>
      <c r="K75">
        <v>0</v>
      </c>
      <c r="L75">
        <v>4.38</v>
      </c>
      <c r="M75" t="s">
        <v>90</v>
      </c>
      <c r="N75">
        <v>24</v>
      </c>
      <c r="O75">
        <v>30</v>
      </c>
      <c r="P75">
        <v>720</v>
      </c>
      <c r="T75">
        <v>1</v>
      </c>
      <c r="U75" t="s">
        <v>116</v>
      </c>
      <c r="V75">
        <v>0</v>
      </c>
      <c r="W75">
        <v>0</v>
      </c>
      <c r="X75">
        <v>1</v>
      </c>
      <c r="Y75">
        <v>1</v>
      </c>
      <c r="Z75">
        <v>10.12</v>
      </c>
      <c r="AA75">
        <v>3.07</v>
      </c>
      <c r="AB75">
        <v>42</v>
      </c>
      <c r="AC75">
        <v>7.67</v>
      </c>
      <c r="AD75">
        <v>2.72</v>
      </c>
      <c r="AE75">
        <v>42</v>
      </c>
      <c r="AF75">
        <v>8.68</v>
      </c>
      <c r="AG75">
        <v>2.24</v>
      </c>
      <c r="AH75">
        <v>44</v>
      </c>
      <c r="AI75">
        <v>7.3</v>
      </c>
      <c r="AJ75">
        <v>2.49</v>
      </c>
      <c r="AK75">
        <v>44</v>
      </c>
    </row>
    <row r="76" spans="1:37">
      <c r="A76">
        <v>20</v>
      </c>
      <c r="B76">
        <v>1</v>
      </c>
      <c r="C76">
        <v>1</v>
      </c>
      <c r="D76">
        <v>1</v>
      </c>
      <c r="E76" t="s">
        <v>37</v>
      </c>
      <c r="F76" t="s">
        <v>89</v>
      </c>
      <c r="G76">
        <v>1</v>
      </c>
      <c r="H76">
        <v>0.25</v>
      </c>
      <c r="J76">
        <v>1</v>
      </c>
      <c r="K76">
        <v>0</v>
      </c>
      <c r="L76">
        <v>4.38</v>
      </c>
      <c r="M76" t="s">
        <v>90</v>
      </c>
      <c r="N76">
        <v>24</v>
      </c>
      <c r="O76">
        <v>30</v>
      </c>
      <c r="P76">
        <v>720</v>
      </c>
      <c r="T76">
        <v>1</v>
      </c>
      <c r="U76" t="s">
        <v>117</v>
      </c>
      <c r="V76">
        <v>0</v>
      </c>
      <c r="W76">
        <v>1</v>
      </c>
      <c r="X76">
        <v>2</v>
      </c>
      <c r="Y76">
        <v>1</v>
      </c>
      <c r="Z76">
        <v>11</v>
      </c>
      <c r="AA76">
        <v>2.63</v>
      </c>
      <c r="AB76">
        <v>42</v>
      </c>
      <c r="AC76">
        <v>9.29</v>
      </c>
      <c r="AD76">
        <v>2.71</v>
      </c>
      <c r="AE76">
        <v>42</v>
      </c>
      <c r="AF76">
        <v>11.11</v>
      </c>
      <c r="AG76">
        <v>2.09</v>
      </c>
      <c r="AH76">
        <v>44</v>
      </c>
      <c r="AI76">
        <v>9.36</v>
      </c>
      <c r="AJ76">
        <v>2.83</v>
      </c>
      <c r="AK76">
        <v>44</v>
      </c>
    </row>
    <row r="77" spans="1:37">
      <c r="A77">
        <v>20</v>
      </c>
      <c r="B77">
        <v>1</v>
      </c>
      <c r="C77">
        <v>1</v>
      </c>
      <c r="D77">
        <v>1</v>
      </c>
      <c r="E77" t="s">
        <v>37</v>
      </c>
      <c r="F77" t="s">
        <v>89</v>
      </c>
      <c r="G77">
        <v>1</v>
      </c>
      <c r="H77">
        <v>0.25</v>
      </c>
      <c r="J77">
        <v>1</v>
      </c>
      <c r="K77">
        <v>0</v>
      </c>
      <c r="L77">
        <v>4.38</v>
      </c>
      <c r="M77" t="s">
        <v>90</v>
      </c>
      <c r="N77">
        <v>24</v>
      </c>
      <c r="O77">
        <v>30</v>
      </c>
      <c r="P77">
        <v>720</v>
      </c>
      <c r="T77">
        <v>1</v>
      </c>
      <c r="U77" t="s">
        <v>118</v>
      </c>
      <c r="V77">
        <v>0</v>
      </c>
      <c r="W77">
        <v>1</v>
      </c>
      <c r="X77">
        <v>1</v>
      </c>
      <c r="Y77">
        <v>1</v>
      </c>
      <c r="Z77">
        <v>2.31</v>
      </c>
      <c r="AA77">
        <v>2.1</v>
      </c>
      <c r="AB77">
        <v>42</v>
      </c>
      <c r="AC77">
        <v>0.9</v>
      </c>
      <c r="AD77">
        <v>1.48</v>
      </c>
      <c r="AE77">
        <v>42</v>
      </c>
      <c r="AF77">
        <v>2.39</v>
      </c>
      <c r="AG77">
        <v>2.1</v>
      </c>
      <c r="AH77">
        <v>44</v>
      </c>
      <c r="AI77">
        <v>1.14</v>
      </c>
      <c r="AJ77">
        <v>1.86</v>
      </c>
      <c r="AK77">
        <v>44</v>
      </c>
    </row>
    <row r="78" s="2" customFormat="1" spans="1:37">
      <c r="A78" s="2">
        <v>21</v>
      </c>
      <c r="B78" s="2">
        <v>1</v>
      </c>
      <c r="C78" s="2">
        <v>1</v>
      </c>
      <c r="D78" s="2">
        <v>1</v>
      </c>
      <c r="E78" s="2" t="s">
        <v>37</v>
      </c>
      <c r="F78" s="2" t="s">
        <v>119</v>
      </c>
      <c r="G78" s="2">
        <v>0</v>
      </c>
      <c r="H78" s="2">
        <v>0.33</v>
      </c>
      <c r="I78" s="2" t="s">
        <v>39</v>
      </c>
      <c r="J78" s="2">
        <v>3</v>
      </c>
      <c r="K78" s="2">
        <v>0</v>
      </c>
      <c r="L78" s="2">
        <v>4.29</v>
      </c>
      <c r="M78" s="2" t="s">
        <v>90</v>
      </c>
      <c r="N78" s="2">
        <v>24</v>
      </c>
      <c r="O78" s="2">
        <v>15</v>
      </c>
      <c r="P78" s="2">
        <v>360</v>
      </c>
      <c r="T78" s="2">
        <v>1</v>
      </c>
      <c r="U78" s="2" t="s">
        <v>120</v>
      </c>
      <c r="V78" s="2">
        <v>1</v>
      </c>
      <c r="W78" s="2">
        <v>0</v>
      </c>
      <c r="X78" s="2">
        <v>1</v>
      </c>
      <c r="Y78" s="2">
        <v>1</v>
      </c>
      <c r="Z78" s="2">
        <v>10.49</v>
      </c>
      <c r="AA78" s="2">
        <v>2.37</v>
      </c>
      <c r="AB78" s="2">
        <v>59</v>
      </c>
      <c r="AC78" s="2">
        <v>8.8</v>
      </c>
      <c r="AD78" s="2">
        <v>2.32</v>
      </c>
      <c r="AE78" s="2">
        <v>60</v>
      </c>
      <c r="AF78" s="2">
        <v>9.87</v>
      </c>
      <c r="AG78" s="2">
        <v>2.36</v>
      </c>
      <c r="AH78" s="2">
        <v>55</v>
      </c>
      <c r="AI78" s="2">
        <v>8.08</v>
      </c>
      <c r="AJ78" s="2">
        <v>2.06</v>
      </c>
      <c r="AK78" s="2">
        <v>59</v>
      </c>
    </row>
    <row r="79" s="2" customFormat="1" spans="1:37">
      <c r="A79" s="2">
        <v>21</v>
      </c>
      <c r="B79" s="2">
        <v>1</v>
      </c>
      <c r="C79" s="2">
        <v>1</v>
      </c>
      <c r="D79" s="2">
        <v>1</v>
      </c>
      <c r="E79" s="2" t="s">
        <v>37</v>
      </c>
      <c r="F79" s="2" t="s">
        <v>119</v>
      </c>
      <c r="G79" s="2">
        <v>0</v>
      </c>
      <c r="H79" s="2">
        <v>0.33</v>
      </c>
      <c r="I79" s="3" t="s">
        <v>39</v>
      </c>
      <c r="J79" s="2">
        <v>3</v>
      </c>
      <c r="K79" s="2">
        <v>0</v>
      </c>
      <c r="L79" s="2">
        <v>4.29</v>
      </c>
      <c r="M79" s="2" t="s">
        <v>90</v>
      </c>
      <c r="N79" s="2">
        <v>24</v>
      </c>
      <c r="O79" s="2">
        <v>15</v>
      </c>
      <c r="P79" s="2">
        <v>360</v>
      </c>
      <c r="T79" s="2">
        <v>1</v>
      </c>
      <c r="U79" s="2" t="s">
        <v>121</v>
      </c>
      <c r="V79" s="2">
        <v>0</v>
      </c>
      <c r="W79" s="2">
        <v>1</v>
      </c>
      <c r="X79" s="2">
        <v>1</v>
      </c>
      <c r="Y79" s="2">
        <v>1</v>
      </c>
      <c r="Z79" s="2">
        <v>14.81</v>
      </c>
      <c r="AA79" s="2">
        <v>6.6</v>
      </c>
      <c r="AB79" s="2">
        <v>59</v>
      </c>
      <c r="AC79" s="2">
        <v>12.43</v>
      </c>
      <c r="AD79" s="2">
        <v>6.14</v>
      </c>
      <c r="AE79" s="2">
        <v>60</v>
      </c>
      <c r="AF79" s="2">
        <v>15.73</v>
      </c>
      <c r="AG79" s="2">
        <v>6.34</v>
      </c>
      <c r="AH79" s="2">
        <v>55</v>
      </c>
      <c r="AI79" s="2">
        <v>11.61</v>
      </c>
      <c r="AJ79" s="2">
        <v>6.09</v>
      </c>
      <c r="AK79" s="2">
        <v>59</v>
      </c>
    </row>
    <row r="80" s="3" customFormat="1" spans="1:37">
      <c r="A80" s="3">
        <v>21</v>
      </c>
      <c r="B80" s="3">
        <v>1</v>
      </c>
      <c r="C80" s="3">
        <v>1</v>
      </c>
      <c r="D80" s="3">
        <v>1</v>
      </c>
      <c r="E80" s="3" t="s">
        <v>37</v>
      </c>
      <c r="F80" s="3" t="s">
        <v>119</v>
      </c>
      <c r="G80" s="3">
        <v>0</v>
      </c>
      <c r="H80" s="3">
        <v>0.33</v>
      </c>
      <c r="I80" s="3" t="s">
        <v>39</v>
      </c>
      <c r="J80" s="3">
        <v>3</v>
      </c>
      <c r="K80" s="3">
        <v>1</v>
      </c>
      <c r="L80" s="3">
        <v>4.29</v>
      </c>
      <c r="M80" s="3" t="s">
        <v>90</v>
      </c>
      <c r="N80" s="3">
        <v>24</v>
      </c>
      <c r="O80" s="3">
        <v>7.5</v>
      </c>
      <c r="P80" s="3">
        <v>180</v>
      </c>
      <c r="Q80" s="3">
        <v>24</v>
      </c>
      <c r="R80" s="3">
        <v>15</v>
      </c>
      <c r="S80" s="3">
        <v>360</v>
      </c>
      <c r="T80" s="3">
        <v>0.5</v>
      </c>
      <c r="U80" s="3" t="s">
        <v>120</v>
      </c>
      <c r="V80" s="3">
        <v>1</v>
      </c>
      <c r="W80" s="3">
        <v>0</v>
      </c>
      <c r="X80" s="3">
        <v>1</v>
      </c>
      <c r="Y80" s="3">
        <v>1</v>
      </c>
      <c r="Z80" s="3">
        <v>10.84</v>
      </c>
      <c r="AA80" s="3">
        <v>2.28</v>
      </c>
      <c r="AB80" s="3">
        <v>55</v>
      </c>
      <c r="AC80" s="3">
        <v>9.19</v>
      </c>
      <c r="AD80" s="3">
        <v>2.55</v>
      </c>
      <c r="AE80" s="3">
        <v>58</v>
      </c>
      <c r="AF80" s="3">
        <v>9.87</v>
      </c>
      <c r="AG80" s="3">
        <v>2.36</v>
      </c>
      <c r="AH80" s="3">
        <v>55</v>
      </c>
      <c r="AI80" s="3">
        <v>8.08</v>
      </c>
      <c r="AJ80" s="3">
        <v>2.06</v>
      </c>
      <c r="AK80" s="3">
        <v>59</v>
      </c>
    </row>
    <row r="81" s="3" customFormat="1" spans="1:37">
      <c r="A81" s="3">
        <v>21</v>
      </c>
      <c r="B81" s="3">
        <v>1</v>
      </c>
      <c r="C81" s="3">
        <v>1</v>
      </c>
      <c r="D81" s="3">
        <v>1</v>
      </c>
      <c r="E81" s="3" t="s">
        <v>37</v>
      </c>
      <c r="F81" s="3" t="s">
        <v>119</v>
      </c>
      <c r="G81" s="3">
        <v>0</v>
      </c>
      <c r="H81" s="3">
        <v>0.33</v>
      </c>
      <c r="I81" s="3" t="s">
        <v>39</v>
      </c>
      <c r="J81" s="3">
        <v>3</v>
      </c>
      <c r="K81" s="3">
        <v>1</v>
      </c>
      <c r="L81" s="3">
        <v>4.29</v>
      </c>
      <c r="M81" s="3" t="s">
        <v>90</v>
      </c>
      <c r="N81" s="3">
        <v>24</v>
      </c>
      <c r="O81" s="3">
        <v>7.5</v>
      </c>
      <c r="P81" s="3">
        <v>180</v>
      </c>
      <c r="Q81" s="3">
        <v>24</v>
      </c>
      <c r="R81" s="3">
        <v>15</v>
      </c>
      <c r="S81" s="3">
        <v>360</v>
      </c>
      <c r="T81" s="3">
        <v>0.5</v>
      </c>
      <c r="U81" s="3" t="s">
        <v>121</v>
      </c>
      <c r="V81" s="3">
        <v>0</v>
      </c>
      <c r="W81" s="3">
        <v>1</v>
      </c>
      <c r="X81" s="3">
        <v>1</v>
      </c>
      <c r="Y81" s="3">
        <v>1</v>
      </c>
      <c r="Z81" s="3">
        <v>17.25</v>
      </c>
      <c r="AA81" s="3">
        <v>6.15</v>
      </c>
      <c r="AB81" s="3">
        <v>55</v>
      </c>
      <c r="AC81" s="3">
        <v>13.5</v>
      </c>
      <c r="AD81" s="3">
        <v>6.24</v>
      </c>
      <c r="AE81" s="3">
        <v>58</v>
      </c>
      <c r="AF81" s="3">
        <v>15.73</v>
      </c>
      <c r="AG81" s="3">
        <v>6.34</v>
      </c>
      <c r="AH81" s="3">
        <v>55</v>
      </c>
      <c r="AI81" s="3">
        <v>11.61</v>
      </c>
      <c r="AJ81" s="3">
        <v>6.09</v>
      </c>
      <c r="AK81" s="3">
        <v>59</v>
      </c>
    </row>
    <row r="82" spans="1:37">
      <c r="A82">
        <v>21</v>
      </c>
      <c r="B82">
        <v>1</v>
      </c>
      <c r="C82">
        <v>1</v>
      </c>
      <c r="D82">
        <v>1</v>
      </c>
      <c r="E82" t="s">
        <v>37</v>
      </c>
      <c r="F82" t="s">
        <v>119</v>
      </c>
      <c r="G82">
        <v>0</v>
      </c>
      <c r="H82">
        <v>0.33</v>
      </c>
      <c r="I82" t="s">
        <v>122</v>
      </c>
      <c r="J82">
        <v>2</v>
      </c>
      <c r="K82">
        <v>1</v>
      </c>
      <c r="L82">
        <v>4.29</v>
      </c>
      <c r="M82" t="s">
        <v>90</v>
      </c>
      <c r="N82">
        <v>24</v>
      </c>
      <c r="O82">
        <v>7.5</v>
      </c>
      <c r="P82">
        <v>180</v>
      </c>
      <c r="Q82">
        <v>24</v>
      </c>
      <c r="R82">
        <v>15</v>
      </c>
      <c r="S82" s="6">
        <v>360</v>
      </c>
      <c r="T82">
        <v>0.5</v>
      </c>
      <c r="U82" t="s">
        <v>120</v>
      </c>
      <c r="V82">
        <v>1</v>
      </c>
      <c r="W82">
        <v>0</v>
      </c>
      <c r="X82">
        <v>1</v>
      </c>
      <c r="Y82">
        <v>1</v>
      </c>
      <c r="Z82">
        <v>10.84</v>
      </c>
      <c r="AA82">
        <v>2.28</v>
      </c>
      <c r="AB82">
        <v>55</v>
      </c>
      <c r="AC82">
        <v>9.19</v>
      </c>
      <c r="AD82">
        <v>2.55</v>
      </c>
      <c r="AE82">
        <v>58</v>
      </c>
      <c r="AF82">
        <v>10.37</v>
      </c>
      <c r="AG82">
        <v>1.88</v>
      </c>
      <c r="AH82">
        <v>49</v>
      </c>
      <c r="AI82">
        <v>9.07</v>
      </c>
      <c r="AJ82">
        <v>2.51</v>
      </c>
      <c r="AK82">
        <v>57</v>
      </c>
    </row>
    <row r="83" spans="1:37">
      <c r="A83">
        <v>21</v>
      </c>
      <c r="B83">
        <v>1</v>
      </c>
      <c r="C83">
        <v>1</v>
      </c>
      <c r="D83">
        <v>1</v>
      </c>
      <c r="E83" t="s">
        <v>37</v>
      </c>
      <c r="F83" t="s">
        <v>119</v>
      </c>
      <c r="G83">
        <v>0</v>
      </c>
      <c r="H83">
        <v>0.33</v>
      </c>
      <c r="I83" t="s">
        <v>123</v>
      </c>
      <c r="J83">
        <v>2</v>
      </c>
      <c r="K83">
        <v>1</v>
      </c>
      <c r="L83">
        <v>4.29</v>
      </c>
      <c r="M83" t="s">
        <v>90</v>
      </c>
      <c r="N83">
        <v>24</v>
      </c>
      <c r="O83">
        <v>7.5</v>
      </c>
      <c r="P83">
        <v>180</v>
      </c>
      <c r="Q83">
        <v>24</v>
      </c>
      <c r="R83">
        <v>15</v>
      </c>
      <c r="S83" s="6">
        <v>360</v>
      </c>
      <c r="T83">
        <v>0.5</v>
      </c>
      <c r="U83" t="s">
        <v>121</v>
      </c>
      <c r="V83">
        <v>0</v>
      </c>
      <c r="W83">
        <v>1</v>
      </c>
      <c r="X83">
        <v>1</v>
      </c>
      <c r="Y83">
        <v>1</v>
      </c>
      <c r="Z83">
        <v>17.25</v>
      </c>
      <c r="AA83">
        <v>6.15</v>
      </c>
      <c r="AB83">
        <v>55</v>
      </c>
      <c r="AC83">
        <v>13.5</v>
      </c>
      <c r="AD83">
        <v>6.24</v>
      </c>
      <c r="AE83">
        <v>58</v>
      </c>
      <c r="AF83">
        <v>16.39</v>
      </c>
      <c r="AG83">
        <v>5.82</v>
      </c>
      <c r="AH83">
        <v>49</v>
      </c>
      <c r="AI83">
        <v>13.96</v>
      </c>
      <c r="AJ83">
        <v>5.86</v>
      </c>
      <c r="AK83">
        <v>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H18" sqref="H18"/>
    </sheetView>
  </sheetViews>
  <sheetFormatPr defaultColWidth="9.23076923076923" defaultRowHeight="16.8" outlineLevelRow="5" outlineLevelCol="4"/>
  <sheetData>
    <row r="1" spans="1:5">
      <c r="A1" t="s">
        <v>2</v>
      </c>
      <c r="B1" t="s">
        <v>124</v>
      </c>
      <c r="C1" t="s">
        <v>125</v>
      </c>
      <c r="D1" t="s">
        <v>126</v>
      </c>
    </row>
    <row r="2" spans="1:5">
      <c r="A2" t="s">
        <v>127</v>
      </c>
      <c r="B2" t="s">
        <v>128</v>
      </c>
      <c r="C2" t="s">
        <v>129</v>
      </c>
    </row>
    <row r="3" spans="1:5">
      <c r="A3" t="s">
        <v>6</v>
      </c>
      <c r="B3" t="s">
        <v>128</v>
      </c>
      <c r="C3" t="s">
        <v>130</v>
      </c>
    </row>
    <row r="4" spans="1:5">
      <c r="A4" t="s">
        <v>9</v>
      </c>
      <c r="B4" t="s">
        <v>131</v>
      </c>
      <c r="C4" t="s">
        <v>132</v>
      </c>
      <c r="D4" t="s">
        <v>133</v>
      </c>
      <c r="E4" t="s">
        <v>134</v>
      </c>
    </row>
    <row r="5" spans="1:5">
      <c r="A5" t="s">
        <v>10</v>
      </c>
      <c r="B5" t="s">
        <v>135</v>
      </c>
      <c r="C5" t="s">
        <v>136</v>
      </c>
    </row>
    <row r="6" spans="1:5">
      <c r="A6" t="s">
        <v>23</v>
      </c>
      <c r="B6" t="s">
        <v>137</v>
      </c>
      <c r="C6" t="s">
        <v>138</v>
      </c>
      <c r="D6" t="s">
        <v>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MV_overall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WPS_1532687526</cp:lastModifiedBy>
  <dcterms:created xsi:type="dcterms:W3CDTF">2026-07-11T08:27:00Z</dcterms:created>
  <dcterms:modified xsi:type="dcterms:W3CDTF">2026-10-04T16:28:15Z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CB58E41787844F12F40DC26A63E82280_43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